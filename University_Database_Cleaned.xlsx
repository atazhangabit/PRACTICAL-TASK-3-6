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s_Cleaning" sheetId="1" state="visible" r:id="rId3"/>
    <sheet name="Students_Cleaned" sheetId="2" state="visible" r:id="rId4"/>
    <sheet name="Cleaning_Log" sheetId="3" state="visible" r:id="rId5"/>
    <sheet name="Missing_Values" sheetId="4" state="visible" r:id="rId6"/>
    <sheet name="Duplicates" sheetId="5" state="visible" r:id="rId7"/>
    <sheet name="Data_Qualit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" authorId="0">
      <text>
        <r>
          <rPr>
            <sz val="10"/>
            <rFont val="Arial"/>
            <family val="2"/>
          </rPr>
          <t xml:space="preserve">Introduced error: duplicate of the record above (student 1005)</t>
        </r>
      </text>
    </comment>
    <comment ref="B8" authorId="0">
      <text>
        <r>
          <rPr>
            <sz val="10"/>
            <rFont val="Arial"/>
            <family val="2"/>
          </rPr>
          <t xml:space="preserve">Introduced error: Extra leading spaces</t>
        </r>
      </text>
    </comment>
    <comment ref="C12" authorId="0">
      <text>
        <r>
          <rPr>
            <sz val="10"/>
            <rFont val="Arial"/>
            <family val="2"/>
          </rPr>
          <t xml:space="preserve">Introduced error: Extra trailing space</t>
        </r>
      </text>
    </comment>
    <comment ref="D11" authorId="0">
      <text>
        <r>
          <rPr>
            <sz val="10"/>
            <rFont val="Arial"/>
            <family val="2"/>
          </rPr>
          <t xml:space="preserve">Introduced error: Date entered as text DD.MM.YYYY</t>
        </r>
      </text>
    </comment>
    <comment ref="E19" authorId="0">
      <text>
        <r>
          <rPr>
            <sz val="10"/>
            <rFont val="Arial"/>
            <family val="2"/>
          </rPr>
          <t xml:space="preserve">Introduced error: Required field (email) left empty</t>
        </r>
      </text>
    </comment>
    <comment ref="G9" authorId="0">
      <text>
        <r>
          <rPr>
            <sz val="10"/>
            <rFont val="Arial"/>
            <family val="2"/>
          </rPr>
          <t xml:space="preserve">Introduced error: Group 27 stored as text, not a number</t>
        </r>
      </text>
    </comment>
    <comment ref="G24" authorId="0">
      <text>
        <r>
          <rPr>
            <sz val="10"/>
            <rFont val="Arial"/>
            <family val="2"/>
          </rPr>
          <t xml:space="preserve">Introduced error: Group written as 'G-27' instead of 27</t>
        </r>
      </text>
    </comment>
  </commentList>
</comments>
</file>

<file path=xl/sharedStrings.xml><?xml version="1.0" encoding="utf-8"?>
<sst xmlns="http://schemas.openxmlformats.org/spreadsheetml/2006/main" count="397" uniqueCount="233">
  <si>
    <t xml:space="preserve">student_id</t>
  </si>
  <si>
    <t xml:space="preserve">first_name</t>
  </si>
  <si>
    <t xml:space="preserve">last_name</t>
  </si>
  <si>
    <t xml:space="preserve">birth_date</t>
  </si>
  <si>
    <t xml:space="preserve">email</t>
  </si>
  <si>
    <t xml:space="preserve">phone</t>
  </si>
  <si>
    <t xml:space="preserve">group_id</t>
  </si>
  <si>
    <t xml:space="preserve">check_spaces</t>
  </si>
  <si>
    <t xml:space="preserve">check_birth_date</t>
  </si>
  <si>
    <t xml:space="preserve">check_missing</t>
  </si>
  <si>
    <t xml:space="preserve">check_group_id</t>
  </si>
  <si>
    <t xml:space="preserve">check_duplicate</t>
  </si>
  <si>
    <t xml:space="preserve">Aruzhan</t>
  </si>
  <si>
    <t xml:space="preserve">Nurlanova</t>
  </si>
  <si>
    <t xml:space="preserve">aruzhan.nurlanova@stud.univ.edu.kz</t>
  </si>
  <si>
    <t xml:space="preserve">+7 7010 318 36 16</t>
  </si>
  <si>
    <t xml:space="preserve">Nursultan</t>
  </si>
  <si>
    <t xml:space="preserve">Serikov</t>
  </si>
  <si>
    <t xml:space="preserve">nursultan.serikov@stud.univ.edu.kz</t>
  </si>
  <si>
    <t xml:space="preserve">+7 7060 529 19 82</t>
  </si>
  <si>
    <t xml:space="preserve">Dias</t>
  </si>
  <si>
    <t xml:space="preserve">Abdrakhmanov</t>
  </si>
  <si>
    <t xml:space="preserve">dias.abdrakhmanov@stud.univ.edu.kz</t>
  </si>
  <si>
    <t xml:space="preserve">+7 7044 444 21 49</t>
  </si>
  <si>
    <t xml:space="preserve">Aisha</t>
  </si>
  <si>
    <t xml:space="preserve">Kenzhebayeva</t>
  </si>
  <si>
    <t xml:space="preserve">aisha.kenzhebayeva@stud.univ.edu.kz</t>
  </si>
  <si>
    <t xml:space="preserve">+7 7025 237 41 22</t>
  </si>
  <si>
    <t xml:space="preserve">Yerkebulan</t>
  </si>
  <si>
    <t xml:space="preserve">Tokhtarov</t>
  </si>
  <si>
    <t xml:space="preserve">yerkebulan.tokhtarov@stud.univ.edu.kz</t>
  </si>
  <si>
    <t xml:space="preserve">+7 7072 281 97 81</t>
  </si>
  <si>
    <t xml:space="preserve">  Dilnaz</t>
  </si>
  <si>
    <t xml:space="preserve">Muratova</t>
  </si>
  <si>
    <t xml:space="preserve">dilnaz.muratova@stud.univ.edu.kz</t>
  </si>
  <si>
    <t xml:space="preserve">+7 7034 849 26 63</t>
  </si>
  <si>
    <t xml:space="preserve">Alikhan</t>
  </si>
  <si>
    <t xml:space="preserve">Baimukhanov</t>
  </si>
  <si>
    <t xml:space="preserve">alikhan.baimukhanov@stud.univ.edu.kz</t>
  </si>
  <si>
    <t xml:space="preserve">+7 7060 530 37 10</t>
  </si>
  <si>
    <t xml:space="preserve">27</t>
  </si>
  <si>
    <t xml:space="preserve">Tomiris</t>
  </si>
  <si>
    <t xml:space="preserve">Yesenova</t>
  </si>
  <si>
    <t xml:space="preserve">tomiris.yesenova@stud.univ.edu.kz</t>
  </si>
  <si>
    <t xml:space="preserve">+7 7012 315 33 60</t>
  </si>
  <si>
    <t xml:space="preserve">Sanzhar</t>
  </si>
  <si>
    <t xml:space="preserve">Zhaksylykov</t>
  </si>
  <si>
    <t xml:space="preserve">19.11.2006</t>
  </si>
  <si>
    <t xml:space="preserve">sanzhar.zhaksylykov@stud.univ.edu.kz</t>
  </si>
  <si>
    <t xml:space="preserve">+7 7022 143 28 37</t>
  </si>
  <si>
    <t xml:space="preserve">Ayaulym</t>
  </si>
  <si>
    <t xml:space="preserve">Kairatova </t>
  </si>
  <si>
    <t xml:space="preserve">ayaulym.kairatova@stud.univ.edu.kz</t>
  </si>
  <si>
    <t xml:space="preserve">+7 7052 950 47 59</t>
  </si>
  <si>
    <t xml:space="preserve">Bekzat</t>
  </si>
  <si>
    <t xml:space="preserve">Amanov</t>
  </si>
  <si>
    <t xml:space="preserve">bekzat.amanov@stud.univ.edu.kz</t>
  </si>
  <si>
    <t xml:space="preserve">+7 7036 696 91 41</t>
  </si>
  <si>
    <t xml:space="preserve">Zarina</t>
  </si>
  <si>
    <t xml:space="preserve">Sultanova</t>
  </si>
  <si>
    <t xml:space="preserve">zarina.sultanova@stud.univ.edu.kz</t>
  </si>
  <si>
    <t xml:space="preserve">+7 7057 737 68 26</t>
  </si>
  <si>
    <t xml:space="preserve">Arman</t>
  </si>
  <si>
    <t xml:space="preserve">Bekov</t>
  </si>
  <si>
    <t xml:space="preserve">arman.bekov@stud.univ.edu.kz</t>
  </si>
  <si>
    <t xml:space="preserve">+7 7027 987 59 33</t>
  </si>
  <si>
    <t xml:space="preserve">Inkar</t>
  </si>
  <si>
    <t xml:space="preserve">Omarova</t>
  </si>
  <si>
    <t xml:space="preserve">inkar.omarova@stud.univ.edu.kz</t>
  </si>
  <si>
    <t xml:space="preserve">+7 7039 937 88 41</t>
  </si>
  <si>
    <t xml:space="preserve">Temirlan</t>
  </si>
  <si>
    <t xml:space="preserve">Kuanyshev</t>
  </si>
  <si>
    <t xml:space="preserve">temirlan.kuanyshev@stud.univ.edu.kz</t>
  </si>
  <si>
    <t xml:space="preserve">+7 7035 803 59 71</t>
  </si>
  <si>
    <t xml:space="preserve">Moldir</t>
  </si>
  <si>
    <t xml:space="preserve">Askarova</t>
  </si>
  <si>
    <t xml:space="preserve">moldir.askarova@stud.univ.edu.kz</t>
  </si>
  <si>
    <t xml:space="preserve">+7 7016 206 23 14</t>
  </si>
  <si>
    <t xml:space="preserve">Adil</t>
  </si>
  <si>
    <t xml:space="preserve">Dosmukhamedov</t>
  </si>
  <si>
    <t xml:space="preserve">+7 7060 363 63 86</t>
  </si>
  <si>
    <t xml:space="preserve">Akbota</t>
  </si>
  <si>
    <t xml:space="preserve">Ibrayeva</t>
  </si>
  <si>
    <t xml:space="preserve">akbota.ibrayeva@stud.univ.edu.kz</t>
  </si>
  <si>
    <t xml:space="preserve">+7 7032 837 18 26</t>
  </si>
  <si>
    <t xml:space="preserve">Nurasyl</t>
  </si>
  <si>
    <t xml:space="preserve">Shaikenov</t>
  </si>
  <si>
    <t xml:space="preserve">nurasyl.shaikenov@stud.univ.edu.kz</t>
  </si>
  <si>
    <t xml:space="preserve">+7 7019 386 37 36</t>
  </si>
  <si>
    <t xml:space="preserve">Diana</t>
  </si>
  <si>
    <t xml:space="preserve">Alieva</t>
  </si>
  <si>
    <t xml:space="preserve">diana.alieva@stud.univ.edu.kz</t>
  </si>
  <si>
    <t xml:space="preserve">+7 7044 521 67 41</t>
  </si>
  <si>
    <t xml:space="preserve">Miras</t>
  </si>
  <si>
    <t xml:space="preserve">Zhunusov</t>
  </si>
  <si>
    <t xml:space="preserve">miras.zhunusov@stud.univ.edu.kz</t>
  </si>
  <si>
    <t xml:space="preserve">+7 7046 477 77 83</t>
  </si>
  <si>
    <t xml:space="preserve">Aidana</t>
  </si>
  <si>
    <t xml:space="preserve">Kaliyeva</t>
  </si>
  <si>
    <t xml:space="preserve">aidana.kaliyeva@stud.univ.edu.kz</t>
  </si>
  <si>
    <t xml:space="preserve">+7 7027 561 52 94</t>
  </si>
  <si>
    <t xml:space="preserve">G-27</t>
  </si>
  <si>
    <t xml:space="preserve">Daniyar</t>
  </si>
  <si>
    <t xml:space="preserve">Berikov</t>
  </si>
  <si>
    <t xml:space="preserve">daniyar.berikov@stud.univ.edu.kz</t>
  </si>
  <si>
    <t xml:space="preserve">+7 7027 704 14 12</t>
  </si>
  <si>
    <t xml:space="preserve">Kamilla</t>
  </si>
  <si>
    <t xml:space="preserve">Temirova</t>
  </si>
  <si>
    <t xml:space="preserve">kamilla.temirova@stud.univ.edu.kz</t>
  </si>
  <si>
    <t xml:space="preserve">+7 7049 134 12 86</t>
  </si>
  <si>
    <t xml:space="preserve">Askar</t>
  </si>
  <si>
    <t xml:space="preserve">Seitkali</t>
  </si>
  <si>
    <t xml:space="preserve">askar.seitkali@stud.univ.edu.kz</t>
  </si>
  <si>
    <t xml:space="preserve">+7 7018 848 49 50</t>
  </si>
  <si>
    <t xml:space="preserve">Sabina</t>
  </si>
  <si>
    <t xml:space="preserve">Mukhametova</t>
  </si>
  <si>
    <t xml:space="preserve">sabina.mukhametova@stud.univ.edu.kz</t>
  </si>
  <si>
    <t xml:space="preserve">+7 7067 659 57 15</t>
  </si>
  <si>
    <t xml:space="preserve">Olzhas</t>
  </si>
  <si>
    <t xml:space="preserve">Orynbassarov</t>
  </si>
  <si>
    <t xml:space="preserve">olzhas.orynbassarov@stud.univ.edu.kz</t>
  </si>
  <si>
    <t xml:space="preserve">+7 7026 912 53 55</t>
  </si>
  <si>
    <t xml:space="preserve">Malika</t>
  </si>
  <si>
    <t xml:space="preserve">Nazarbekova</t>
  </si>
  <si>
    <t xml:space="preserve">malika.nazarbekova@stud.univ.edu.kz</t>
  </si>
  <si>
    <t xml:space="preserve">+7 7019 992 63 13</t>
  </si>
  <si>
    <t xml:space="preserve">Rauan</t>
  </si>
  <si>
    <t xml:space="preserve">Kuandykov</t>
  </si>
  <si>
    <t xml:space="preserve">rauan.kuandykov@stud.univ.edu.kz</t>
  </si>
  <si>
    <t xml:space="preserve">+7 7058 488 84 11</t>
  </si>
  <si>
    <t xml:space="preserve">Assem</t>
  </si>
  <si>
    <t xml:space="preserve">Yerzhanova</t>
  </si>
  <si>
    <t xml:space="preserve">assem.yerzhanova@stud.univ.edu.kz</t>
  </si>
  <si>
    <t xml:space="preserve">+7 7021 754 24 42</t>
  </si>
  <si>
    <t xml:space="preserve">Red cells = errors introduced on purpose (hover for a note). Columns H–L are check formulas; Conditional Formatting highlights every problem.</t>
  </si>
  <si>
    <t xml:space="preserve">data_quality_note</t>
  </si>
  <si>
    <t xml:space="preserve">Duplicate row removed</t>
  </si>
  <si>
    <t xml:space="preserve">Dilnaz</t>
  </si>
  <si>
    <t xml:space="preserve">Spaces removed (TRIM)</t>
  </si>
  <si>
    <t xml:space="preserve">Group converted from text to number</t>
  </si>
  <si>
    <t xml:space="preserve">Date converted to YYYY-MM-DD</t>
  </si>
  <si>
    <t xml:space="preserve">Kairatova</t>
  </si>
  <si>
    <t xml:space="preserve">Email missing – unresolved, to verify with IT service</t>
  </si>
  <si>
    <t xml:space="preserve">Group standardized to integer id</t>
  </si>
  <si>
    <t xml:space="preserve">#</t>
  </si>
  <si>
    <t xml:space="preserve">Problem</t>
  </si>
  <si>
    <t xml:space="preserve">Example (student_id)</t>
  </si>
  <si>
    <t xml:space="preserve">Before</t>
  </si>
  <si>
    <t xml:space="preserve">After</t>
  </si>
  <si>
    <t xml:space="preserve">Action taken</t>
  </si>
  <si>
    <t xml:space="preserve">Excel tool used</t>
  </si>
  <si>
    <t xml:space="preserve">Extra spaces</t>
  </si>
  <si>
    <t xml:space="preserve">1006 first_name</t>
  </si>
  <si>
    <t xml:space="preserve">'  Dilnaz'</t>
  </si>
  <si>
    <t xml:space="preserve">'Dilnaz'</t>
  </si>
  <si>
    <t xml:space="preserve">Removed unnecessary spaces</t>
  </si>
  <si>
    <t xml:space="preserve">TRIM function</t>
  </si>
  <si>
    <t xml:space="preserve">1010 last_name</t>
  </si>
  <si>
    <t xml:space="preserve">'Kairatova '</t>
  </si>
  <si>
    <t xml:space="preserve">'Kairatova'</t>
  </si>
  <si>
    <t xml:space="preserve">Inconsistent group format</t>
  </si>
  <si>
    <t xml:space="preserve">1022 group_id</t>
  </si>
  <si>
    <t xml:space="preserve">Standardized the value to the integer group_id</t>
  </si>
  <si>
    <t xml:space="preserve">Find &amp; Replace (G- → empty)</t>
  </si>
  <si>
    <t xml:space="preserve">Wrong data type (group)</t>
  </si>
  <si>
    <t xml:space="preserve">1007 group_id</t>
  </si>
  <si>
    <t xml:space="preserve">'27' (text)</t>
  </si>
  <si>
    <t xml:space="preserve">27 (number)</t>
  </si>
  <si>
    <t xml:space="preserve">Converted text to number</t>
  </si>
  <si>
    <t xml:space="preserve">VALUE function / Convert to Number</t>
  </si>
  <si>
    <t xml:space="preserve">Inconsistent date format</t>
  </si>
  <si>
    <t xml:space="preserve">1009 birth_date</t>
  </si>
  <si>
    <t xml:space="preserve">19.11.2006 (text)</t>
  </si>
  <si>
    <t xml:space="preserve">2006-11-19</t>
  </si>
  <si>
    <t xml:space="preserve">Applied one format YYYY-MM-DD</t>
  </si>
  <si>
    <t xml:space="preserve">DATE + Format Cells (yyyy-mm-dd)</t>
  </si>
  <si>
    <t xml:space="preserve">Duplicate record</t>
  </si>
  <si>
    <t xml:space="preserve">1005 (rows 6 and 7)</t>
  </si>
  <si>
    <t xml:space="preserve">2 identical rows</t>
  </si>
  <si>
    <t xml:space="preserve">1 row</t>
  </si>
  <si>
    <t xml:space="preserve">Checked all fields, removed the duplicate</t>
  </si>
  <si>
    <t xml:space="preserve">Conditional Formatting + Remove Duplicates</t>
  </si>
  <si>
    <t xml:space="preserve">Missing value</t>
  </si>
  <si>
    <t xml:space="preserve">1017 email</t>
  </si>
  <si>
    <t xml:space="preserve">empty</t>
  </si>
  <si>
    <t xml:space="preserve">empty (flagged)</t>
  </si>
  <si>
    <t xml:space="preserve">Investigated; not verifiable, so flagged instead of invented</t>
  </si>
  <si>
    <t xml:space="preserve">COUNTBLANK, filter on blanks</t>
  </si>
  <si>
    <t xml:space="preserve">column</t>
  </si>
  <si>
    <t xml:space="preserve">required?</t>
  </si>
  <si>
    <t xml:space="preserve">missing in Students_Cleaning</t>
  </si>
  <si>
    <t xml:space="preserve">missing in Students_Cleaned</t>
  </si>
  <si>
    <t xml:space="preserve">can be corrected from a reliable source?</t>
  </si>
  <si>
    <t xml:space="preserve">decision</t>
  </si>
  <si>
    <t xml:space="preserve">Yes</t>
  </si>
  <si>
    <t xml:space="preserve">—</t>
  </si>
  <si>
    <t xml:space="preserve">No action needed</t>
  </si>
  <si>
    <t xml:space="preserve">No – university email cannot be guessed</t>
  </si>
  <si>
    <t xml:space="preserve">Left empty, flagged, request sent to IT service</t>
  </si>
  <si>
    <t xml:space="preserve">TOTAL</t>
  </si>
  <si>
    <t xml:space="preserve">check</t>
  </si>
  <si>
    <t xml:space="preserve">result</t>
  </si>
  <si>
    <t xml:space="preserve">Rows in Students_Cleaning</t>
  </si>
  <si>
    <t xml:space="preserve">Unique student_id values</t>
  </si>
  <si>
    <t xml:space="preserve">Rows with a repeated student_id</t>
  </si>
  <si>
    <t xml:space="preserve">Duplicates found (extra copies)</t>
  </si>
  <si>
    <t xml:space="preserve">Duplicates removed</t>
  </si>
  <si>
    <t xml:space="preserve">Rows in Students_Cleaned</t>
  </si>
  <si>
    <t xml:space="preserve">Same first+last name but different student_id</t>
  </si>
  <si>
    <t xml:space="preserve">How checked: the two rows with student_id 1005 match in every field (name, birth_date, email, phone, group_id), so they are a genuine duplicate. No records were deleted only because of a similar name.</t>
  </si>
  <si>
    <t xml:space="preserve">criterion</t>
  </si>
  <si>
    <t xml:space="preserve">question</t>
  </si>
  <si>
    <t xml:space="preserve">before cleaning</t>
  </si>
  <si>
    <t xml:space="preserve">after cleaning</t>
  </si>
  <si>
    <t xml:space="preserve">example from the dataset</t>
  </si>
  <si>
    <t xml:space="preserve">Completeness</t>
  </si>
  <si>
    <t xml:space="preserve">Are required fields filled in?</t>
  </si>
  <si>
    <t xml:space="preserve">Needs Improvement</t>
  </si>
  <si>
    <t xml:space="preserve">Email of student 1017 is empty (1 of 210 cells); cannot be verified, so it stays flagged.</t>
  </si>
  <si>
    <t xml:space="preserve">Accuracy</t>
  </si>
  <si>
    <t xml:space="preserve">Are the values correct and verifiable?</t>
  </si>
  <si>
    <t xml:space="preserve">Good</t>
  </si>
  <si>
    <t xml:space="preserve">Group 'G-27' was not a valid group_id; after cleaning every group_id exists in the Groups table.</t>
  </si>
  <si>
    <t xml:space="preserve">Consistency</t>
  </si>
  <si>
    <t xml:space="preserve">Are values written in a uniform format?</t>
  </si>
  <si>
    <t xml:space="preserve">Poor</t>
  </si>
  <si>
    <t xml:space="preserve">Birth date '19.11.2006' mixed with YYYY-MM-DD; now all 30 dates use YYYY-MM-DD.</t>
  </si>
  <si>
    <t xml:space="preserve">Uniqueness</t>
  </si>
  <si>
    <t xml:space="preserve">Are there any duplicate records?</t>
  </si>
  <si>
    <t xml:space="preserve">student_id 1005 appeared twice; now all 30 student_id values are unique.</t>
  </si>
  <si>
    <t xml:space="preserve">Validity</t>
  </si>
  <si>
    <t xml:space="preserve">Do the values follow the required rules and formats?</t>
  </si>
  <si>
    <t xml:space="preserve">group_id stored as text ('27') and spaces in names; now group_id is an integer and names are trimmed.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</si>
</sst>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C7CE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  <color rgb="FF9C0006"/>
      </font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5"/>
    <col collapsed="false" customWidth="true" hidden="false" outlineLevel="0" max="12" min="12" style="0" width="16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1001</v>
      </c>
      <c r="B2" s="2" t="s">
        <v>12</v>
      </c>
      <c r="C2" s="2" t="s">
        <v>13</v>
      </c>
      <c r="D2" s="3" t="n">
        <v>38380</v>
      </c>
      <c r="E2" s="2" t="s">
        <v>14</v>
      </c>
      <c r="F2" s="2" t="s">
        <v>15</v>
      </c>
      <c r="G2" s="2" t="n">
        <v>21</v>
      </c>
      <c r="H2" s="2" t="str">
        <f aca="false">IF(OR(B2&lt;&gt;TRIM(B2),C2&lt;&gt;TRIM(C2)),"extra space","OK")</f>
        <v>OK</v>
      </c>
      <c r="I2" s="2" t="str">
        <f aca="false">IF(ISNUMBER(D2),"OK","not a date")</f>
        <v>OK</v>
      </c>
      <c r="J2" s="2" t="str">
        <f aca="false">IF(COUNTBLANK(A2:G2)&gt;0,"missing value","OK")</f>
        <v>OK</v>
      </c>
      <c r="K2" s="2" t="str">
        <f aca="false">IF(ISNUMBER(G2),"OK","wrong format")</f>
        <v>OK</v>
      </c>
      <c r="L2" s="2" t="str">
        <f aca="false">IF(COUNTIF($A$2:$A$32,A2)&gt;1,"duplicate ID","OK")</f>
        <v>OK</v>
      </c>
    </row>
    <row r="3" customFormat="false" ht="15" hidden="false" customHeight="false" outlineLevel="0" collapsed="false">
      <c r="A3" s="2" t="n">
        <v>1002</v>
      </c>
      <c r="B3" s="2" t="s">
        <v>16</v>
      </c>
      <c r="C3" s="2" t="s">
        <v>17</v>
      </c>
      <c r="D3" s="3" t="n">
        <v>38921</v>
      </c>
      <c r="E3" s="2" t="s">
        <v>18</v>
      </c>
      <c r="F3" s="2" t="s">
        <v>19</v>
      </c>
      <c r="G3" s="2" t="n">
        <v>22</v>
      </c>
      <c r="H3" s="2" t="str">
        <f aca="false">IF(OR(B3&lt;&gt;TRIM(B3),C3&lt;&gt;TRIM(C3)),"extra space","OK")</f>
        <v>OK</v>
      </c>
      <c r="I3" s="2" t="str">
        <f aca="false">IF(ISNUMBER(D3),"OK","not a date")</f>
        <v>OK</v>
      </c>
      <c r="J3" s="2" t="str">
        <f aca="false">IF(COUNTBLANK(A3:G3)&gt;0,"missing value","OK")</f>
        <v>OK</v>
      </c>
      <c r="K3" s="2" t="str">
        <f aca="false">IF(ISNUMBER(G3),"OK","wrong format")</f>
        <v>OK</v>
      </c>
      <c r="L3" s="2" t="str">
        <f aca="false">IF(COUNTIF($A$2:$A$32,A3)&gt;1,"duplicate ID","OK")</f>
        <v>OK</v>
      </c>
    </row>
    <row r="4" customFormat="false" ht="15" hidden="false" customHeight="false" outlineLevel="0" collapsed="false">
      <c r="A4" s="2" t="n">
        <v>1003</v>
      </c>
      <c r="B4" s="2" t="s">
        <v>20</v>
      </c>
      <c r="C4" s="2" t="s">
        <v>21</v>
      </c>
      <c r="D4" s="3" t="n">
        <v>38832</v>
      </c>
      <c r="E4" s="2" t="s">
        <v>22</v>
      </c>
      <c r="F4" s="2" t="s">
        <v>23</v>
      </c>
      <c r="G4" s="2" t="n">
        <v>23</v>
      </c>
      <c r="H4" s="2" t="str">
        <f aca="false">IF(OR(B4&lt;&gt;TRIM(B4),C4&lt;&gt;TRIM(C4)),"extra space","OK")</f>
        <v>OK</v>
      </c>
      <c r="I4" s="2" t="str">
        <f aca="false">IF(ISNUMBER(D4),"OK","not a date")</f>
        <v>OK</v>
      </c>
      <c r="J4" s="2" t="str">
        <f aca="false">IF(COUNTBLANK(A4:G4)&gt;0,"missing value","OK")</f>
        <v>OK</v>
      </c>
      <c r="K4" s="2" t="str">
        <f aca="false">IF(ISNUMBER(G4),"OK","wrong format")</f>
        <v>OK</v>
      </c>
      <c r="L4" s="2" t="str">
        <f aca="false">IF(COUNTIF($A$2:$A$32,A4)&gt;1,"duplicate ID","OK")</f>
        <v>OK</v>
      </c>
    </row>
    <row r="5" customFormat="false" ht="15" hidden="false" customHeight="false" outlineLevel="0" collapsed="false">
      <c r="A5" s="2" t="n">
        <v>1004</v>
      </c>
      <c r="B5" s="2" t="s">
        <v>24</v>
      </c>
      <c r="C5" s="2" t="s">
        <v>25</v>
      </c>
      <c r="D5" s="3" t="n">
        <v>38366</v>
      </c>
      <c r="E5" s="2" t="s">
        <v>26</v>
      </c>
      <c r="F5" s="2" t="s">
        <v>27</v>
      </c>
      <c r="G5" s="2" t="n">
        <v>24</v>
      </c>
      <c r="H5" s="2" t="str">
        <f aca="false">IF(OR(B5&lt;&gt;TRIM(B5),C5&lt;&gt;TRIM(C5)),"extra space","OK")</f>
        <v>OK</v>
      </c>
      <c r="I5" s="2" t="str">
        <f aca="false">IF(ISNUMBER(D5),"OK","not a date")</f>
        <v>OK</v>
      </c>
      <c r="J5" s="2" t="str">
        <f aca="false">IF(COUNTBLANK(A5:G5)&gt;0,"missing value","OK")</f>
        <v>OK</v>
      </c>
      <c r="K5" s="2" t="str">
        <f aca="false">IF(ISNUMBER(G5),"OK","wrong format")</f>
        <v>OK</v>
      </c>
      <c r="L5" s="2" t="str">
        <f aca="false">IF(COUNTIF($A$2:$A$32,A5)&gt;1,"duplicate ID","OK")</f>
        <v>OK</v>
      </c>
    </row>
    <row r="6" customFormat="false" ht="15" hidden="false" customHeight="false" outlineLevel="0" collapsed="false">
      <c r="A6" s="2" t="n">
        <v>1005</v>
      </c>
      <c r="B6" s="2" t="s">
        <v>28</v>
      </c>
      <c r="C6" s="2" t="s">
        <v>29</v>
      </c>
      <c r="D6" s="3" t="n">
        <v>38732</v>
      </c>
      <c r="E6" s="2" t="s">
        <v>30</v>
      </c>
      <c r="F6" s="2" t="s">
        <v>31</v>
      </c>
      <c r="G6" s="2" t="n">
        <v>25</v>
      </c>
      <c r="H6" s="2" t="str">
        <f aca="false">IF(OR(B6&lt;&gt;TRIM(B6),C6&lt;&gt;TRIM(C6)),"extra space","OK")</f>
        <v>OK</v>
      </c>
      <c r="I6" s="2" t="str">
        <f aca="false">IF(ISNUMBER(D6),"OK","not a date")</f>
        <v>OK</v>
      </c>
      <c r="J6" s="2" t="str">
        <f aca="false">IF(COUNTBLANK(A6:G6)&gt;0,"missing value","OK")</f>
        <v>OK</v>
      </c>
      <c r="K6" s="2" t="str">
        <f aca="false">IF(ISNUMBER(G6),"OK","wrong format")</f>
        <v>OK</v>
      </c>
      <c r="L6" s="2" t="str">
        <f aca="false">IF(COUNTIF($A$2:$A$32,A6)&gt;1,"duplicate ID","OK")</f>
        <v>duplicate ID</v>
      </c>
    </row>
    <row r="7" customFormat="false" ht="15" hidden="false" customHeight="false" outlineLevel="0" collapsed="false">
      <c r="A7" s="4" t="n">
        <v>1005</v>
      </c>
      <c r="B7" s="4" t="s">
        <v>28</v>
      </c>
      <c r="C7" s="4" t="s">
        <v>29</v>
      </c>
      <c r="D7" s="5" t="n">
        <v>38732</v>
      </c>
      <c r="E7" s="4" t="s">
        <v>30</v>
      </c>
      <c r="F7" s="4" t="s">
        <v>31</v>
      </c>
      <c r="G7" s="4" t="n">
        <v>25</v>
      </c>
      <c r="H7" s="2" t="str">
        <f aca="false">IF(OR(B7&lt;&gt;TRIM(B7),C7&lt;&gt;TRIM(C7)),"extra space","OK")</f>
        <v>OK</v>
      </c>
      <c r="I7" s="2" t="str">
        <f aca="false">IF(ISNUMBER(D7),"OK","not a date")</f>
        <v>OK</v>
      </c>
      <c r="J7" s="2" t="str">
        <f aca="false">IF(COUNTBLANK(A7:G7)&gt;0,"missing value","OK")</f>
        <v>OK</v>
      </c>
      <c r="K7" s="2" t="str">
        <f aca="false">IF(ISNUMBER(G7),"OK","wrong format")</f>
        <v>OK</v>
      </c>
      <c r="L7" s="2" t="str">
        <f aca="false">IF(COUNTIF($A$2:$A$32,A7)&gt;1,"duplicate ID","OK")</f>
        <v>duplicate ID</v>
      </c>
    </row>
    <row r="8" customFormat="false" ht="15" hidden="false" customHeight="false" outlineLevel="0" collapsed="false">
      <c r="A8" s="2" t="n">
        <v>1006</v>
      </c>
      <c r="B8" s="4" t="s">
        <v>32</v>
      </c>
      <c r="C8" s="2" t="s">
        <v>33</v>
      </c>
      <c r="D8" s="3" t="n">
        <v>39311</v>
      </c>
      <c r="E8" s="2" t="s">
        <v>34</v>
      </c>
      <c r="F8" s="2" t="s">
        <v>35</v>
      </c>
      <c r="G8" s="2" t="n">
        <v>26</v>
      </c>
      <c r="H8" s="2" t="str">
        <f aca="false">IF(OR(B8&lt;&gt;TRIM(B8),C8&lt;&gt;TRIM(C8)),"extra space","OK")</f>
        <v>extra space</v>
      </c>
      <c r="I8" s="2" t="str">
        <f aca="false">IF(ISNUMBER(D8),"OK","not a date")</f>
        <v>OK</v>
      </c>
      <c r="J8" s="2" t="str">
        <f aca="false">IF(COUNTBLANK(A8:G8)&gt;0,"missing value","OK")</f>
        <v>OK</v>
      </c>
      <c r="K8" s="2" t="str">
        <f aca="false">IF(ISNUMBER(G8),"OK","wrong format")</f>
        <v>OK</v>
      </c>
      <c r="L8" s="2" t="str">
        <f aca="false">IF(COUNTIF($A$2:$A$32,A8)&gt;1,"duplicate ID","OK")</f>
        <v>OK</v>
      </c>
    </row>
    <row r="9" customFormat="false" ht="15" hidden="false" customHeight="false" outlineLevel="0" collapsed="false">
      <c r="A9" s="2" t="n">
        <v>1007</v>
      </c>
      <c r="B9" s="2" t="s">
        <v>36</v>
      </c>
      <c r="C9" s="2" t="s">
        <v>37</v>
      </c>
      <c r="D9" s="3" t="n">
        <v>38537</v>
      </c>
      <c r="E9" s="2" t="s">
        <v>38</v>
      </c>
      <c r="F9" s="2" t="s">
        <v>39</v>
      </c>
      <c r="G9" s="4" t="s">
        <v>40</v>
      </c>
      <c r="H9" s="2" t="str">
        <f aca="false">IF(OR(B9&lt;&gt;TRIM(B9),C9&lt;&gt;TRIM(C9)),"extra space","OK")</f>
        <v>OK</v>
      </c>
      <c r="I9" s="2" t="str">
        <f aca="false">IF(ISNUMBER(D9),"OK","not a date")</f>
        <v>OK</v>
      </c>
      <c r="J9" s="2" t="str">
        <f aca="false">IF(COUNTBLANK(A9:G9)&gt;0,"missing value","OK")</f>
        <v>OK</v>
      </c>
      <c r="K9" s="2" t="str">
        <f aca="false">IF(ISNUMBER(G9),"OK","wrong format")</f>
        <v>wrong format</v>
      </c>
      <c r="L9" s="2" t="str">
        <f aca="false">IF(COUNTIF($A$2:$A$32,A9)&gt;1,"duplicate ID","OK")</f>
        <v>OK</v>
      </c>
    </row>
    <row r="10" customFormat="false" ht="15" hidden="false" customHeight="false" outlineLevel="0" collapsed="false">
      <c r="A10" s="2" t="n">
        <v>1008</v>
      </c>
      <c r="B10" s="2" t="s">
        <v>41</v>
      </c>
      <c r="C10" s="2" t="s">
        <v>42</v>
      </c>
      <c r="D10" s="3" t="n">
        <v>38635</v>
      </c>
      <c r="E10" s="2" t="s">
        <v>43</v>
      </c>
      <c r="F10" s="2" t="s">
        <v>44</v>
      </c>
      <c r="G10" s="2" t="n">
        <v>28</v>
      </c>
      <c r="H10" s="2" t="str">
        <f aca="false">IF(OR(B10&lt;&gt;TRIM(B10),C10&lt;&gt;TRIM(C10)),"extra space","OK")</f>
        <v>OK</v>
      </c>
      <c r="I10" s="2" t="str">
        <f aca="false">IF(ISNUMBER(D10),"OK","not a date")</f>
        <v>OK</v>
      </c>
      <c r="J10" s="2" t="str">
        <f aca="false">IF(COUNTBLANK(A10:G10)&gt;0,"missing value","OK")</f>
        <v>OK</v>
      </c>
      <c r="K10" s="2" t="str">
        <f aca="false">IF(ISNUMBER(G10),"OK","wrong format")</f>
        <v>OK</v>
      </c>
      <c r="L10" s="2" t="str">
        <f aca="false">IF(COUNTIF($A$2:$A$32,A10)&gt;1,"duplicate ID","OK")</f>
        <v>OK</v>
      </c>
    </row>
    <row r="11" customFormat="false" ht="15" hidden="false" customHeight="false" outlineLevel="0" collapsed="false">
      <c r="A11" s="2" t="n">
        <v>1009</v>
      </c>
      <c r="B11" s="2" t="s">
        <v>45</v>
      </c>
      <c r="C11" s="2" t="s">
        <v>46</v>
      </c>
      <c r="D11" s="4" t="s">
        <v>47</v>
      </c>
      <c r="E11" s="2" t="s">
        <v>48</v>
      </c>
      <c r="F11" s="2" t="s">
        <v>49</v>
      </c>
      <c r="G11" s="2" t="n">
        <v>29</v>
      </c>
      <c r="H11" s="2" t="str">
        <f aca="false">IF(OR(B11&lt;&gt;TRIM(B11),C11&lt;&gt;TRIM(C11)),"extra space","OK")</f>
        <v>OK</v>
      </c>
      <c r="I11" s="2" t="str">
        <f aca="false">IF(ISNUMBER(D11),"OK","not a date")</f>
        <v>not a date</v>
      </c>
      <c r="J11" s="2" t="str">
        <f aca="false">IF(COUNTBLANK(A11:G11)&gt;0,"missing value","OK")</f>
        <v>OK</v>
      </c>
      <c r="K11" s="2" t="str">
        <f aca="false">IF(ISNUMBER(G11),"OK","wrong format")</f>
        <v>OK</v>
      </c>
      <c r="L11" s="2" t="str">
        <f aca="false">IF(COUNTIF($A$2:$A$32,A11)&gt;1,"duplicate ID","OK")</f>
        <v>OK</v>
      </c>
    </row>
    <row r="12" customFormat="false" ht="15" hidden="false" customHeight="false" outlineLevel="0" collapsed="false">
      <c r="A12" s="2" t="n">
        <v>1010</v>
      </c>
      <c r="B12" s="2" t="s">
        <v>50</v>
      </c>
      <c r="C12" s="4" t="s">
        <v>51</v>
      </c>
      <c r="D12" s="3" t="n">
        <v>38838</v>
      </c>
      <c r="E12" s="2" t="s">
        <v>52</v>
      </c>
      <c r="F12" s="2" t="s">
        <v>53</v>
      </c>
      <c r="G12" s="2" t="n">
        <v>30</v>
      </c>
      <c r="H12" s="2" t="str">
        <f aca="false">IF(OR(B12&lt;&gt;TRIM(B12),C12&lt;&gt;TRIM(C12)),"extra space","OK")</f>
        <v>extra space</v>
      </c>
      <c r="I12" s="2" t="str">
        <f aca="false">IF(ISNUMBER(D12),"OK","not a date")</f>
        <v>OK</v>
      </c>
      <c r="J12" s="2" t="str">
        <f aca="false">IF(COUNTBLANK(A12:G12)&gt;0,"missing value","OK")</f>
        <v>OK</v>
      </c>
      <c r="K12" s="2" t="str">
        <f aca="false">IF(ISNUMBER(G12),"OK","wrong format")</f>
        <v>OK</v>
      </c>
      <c r="L12" s="2" t="str">
        <f aca="false">IF(COUNTIF($A$2:$A$32,A12)&gt;1,"duplicate ID","OK")</f>
        <v>OK</v>
      </c>
    </row>
    <row r="13" customFormat="false" ht="15" hidden="false" customHeight="false" outlineLevel="0" collapsed="false">
      <c r="A13" s="2" t="n">
        <v>1011</v>
      </c>
      <c r="B13" s="2" t="s">
        <v>54</v>
      </c>
      <c r="C13" s="2" t="s">
        <v>55</v>
      </c>
      <c r="D13" s="3" t="n">
        <v>39116</v>
      </c>
      <c r="E13" s="2" t="s">
        <v>56</v>
      </c>
      <c r="F13" s="2" t="s">
        <v>57</v>
      </c>
      <c r="G13" s="2" t="n">
        <v>31</v>
      </c>
      <c r="H13" s="2" t="str">
        <f aca="false">IF(OR(B13&lt;&gt;TRIM(B13),C13&lt;&gt;TRIM(C13)),"extra space","OK")</f>
        <v>OK</v>
      </c>
      <c r="I13" s="2" t="str">
        <f aca="false">IF(ISNUMBER(D13),"OK","not a date")</f>
        <v>OK</v>
      </c>
      <c r="J13" s="2" t="str">
        <f aca="false">IF(COUNTBLANK(A13:G13)&gt;0,"missing value","OK")</f>
        <v>OK</v>
      </c>
      <c r="K13" s="2" t="str">
        <f aca="false">IF(ISNUMBER(G13),"OK","wrong format")</f>
        <v>OK</v>
      </c>
      <c r="L13" s="2" t="str">
        <f aca="false">IF(COUNTIF($A$2:$A$32,A13)&gt;1,"duplicate ID","OK")</f>
        <v>OK</v>
      </c>
    </row>
    <row r="14" customFormat="false" ht="15" hidden="false" customHeight="false" outlineLevel="0" collapsed="false">
      <c r="A14" s="2" t="n">
        <v>1012</v>
      </c>
      <c r="B14" s="2" t="s">
        <v>58</v>
      </c>
      <c r="C14" s="2" t="s">
        <v>59</v>
      </c>
      <c r="D14" s="3" t="n">
        <v>39002</v>
      </c>
      <c r="E14" s="2" t="s">
        <v>60</v>
      </c>
      <c r="F14" s="2" t="s">
        <v>61</v>
      </c>
      <c r="G14" s="2" t="n">
        <v>32</v>
      </c>
      <c r="H14" s="2" t="str">
        <f aca="false">IF(OR(B14&lt;&gt;TRIM(B14),C14&lt;&gt;TRIM(C14)),"extra space","OK")</f>
        <v>OK</v>
      </c>
      <c r="I14" s="2" t="str">
        <f aca="false">IF(ISNUMBER(D14),"OK","not a date")</f>
        <v>OK</v>
      </c>
      <c r="J14" s="2" t="str">
        <f aca="false">IF(COUNTBLANK(A14:G14)&gt;0,"missing value","OK")</f>
        <v>OK</v>
      </c>
      <c r="K14" s="2" t="str">
        <f aca="false">IF(ISNUMBER(G14),"OK","wrong format")</f>
        <v>OK</v>
      </c>
      <c r="L14" s="2" t="str">
        <f aca="false">IF(COUNTIF($A$2:$A$32,A14)&gt;1,"duplicate ID","OK")</f>
        <v>OK</v>
      </c>
    </row>
    <row r="15" customFormat="false" ht="15" hidden="false" customHeight="false" outlineLevel="0" collapsed="false">
      <c r="A15" s="2" t="n">
        <v>1013</v>
      </c>
      <c r="B15" s="2" t="s">
        <v>62</v>
      </c>
      <c r="C15" s="2" t="s">
        <v>63</v>
      </c>
      <c r="D15" s="3" t="n">
        <v>38226</v>
      </c>
      <c r="E15" s="2" t="s">
        <v>64</v>
      </c>
      <c r="F15" s="2" t="s">
        <v>65</v>
      </c>
      <c r="G15" s="2" t="n">
        <v>33</v>
      </c>
      <c r="H15" s="2" t="str">
        <f aca="false">IF(OR(B15&lt;&gt;TRIM(B15),C15&lt;&gt;TRIM(C15)),"extra space","OK")</f>
        <v>OK</v>
      </c>
      <c r="I15" s="2" t="str">
        <f aca="false">IF(ISNUMBER(D15),"OK","not a date")</f>
        <v>OK</v>
      </c>
      <c r="J15" s="2" t="str">
        <f aca="false">IF(COUNTBLANK(A15:G15)&gt;0,"missing value","OK")</f>
        <v>OK</v>
      </c>
      <c r="K15" s="2" t="str">
        <f aca="false">IF(ISNUMBER(G15),"OK","wrong format")</f>
        <v>OK</v>
      </c>
      <c r="L15" s="2" t="str">
        <f aca="false">IF(COUNTIF($A$2:$A$32,A15)&gt;1,"duplicate ID","OK")</f>
        <v>OK</v>
      </c>
    </row>
    <row r="16" customFormat="false" ht="15" hidden="false" customHeight="false" outlineLevel="0" collapsed="false">
      <c r="A16" s="2" t="n">
        <v>1014</v>
      </c>
      <c r="B16" s="2" t="s">
        <v>66</v>
      </c>
      <c r="C16" s="2" t="s">
        <v>67</v>
      </c>
      <c r="D16" s="3" t="n">
        <v>38786</v>
      </c>
      <c r="E16" s="2" t="s">
        <v>68</v>
      </c>
      <c r="F16" s="2" t="s">
        <v>69</v>
      </c>
      <c r="G16" s="2" t="n">
        <v>34</v>
      </c>
      <c r="H16" s="2" t="str">
        <f aca="false">IF(OR(B16&lt;&gt;TRIM(B16),C16&lt;&gt;TRIM(C16)),"extra space","OK")</f>
        <v>OK</v>
      </c>
      <c r="I16" s="2" t="str">
        <f aca="false">IF(ISNUMBER(D16),"OK","not a date")</f>
        <v>OK</v>
      </c>
      <c r="J16" s="2" t="str">
        <f aca="false">IF(COUNTBLANK(A16:G16)&gt;0,"missing value","OK")</f>
        <v>OK</v>
      </c>
      <c r="K16" s="2" t="str">
        <f aca="false">IF(ISNUMBER(G16),"OK","wrong format")</f>
        <v>OK</v>
      </c>
      <c r="L16" s="2" t="str">
        <f aca="false">IF(COUNTIF($A$2:$A$32,A16)&gt;1,"duplicate ID","OK")</f>
        <v>OK</v>
      </c>
    </row>
    <row r="17" customFormat="false" ht="15" hidden="false" customHeight="false" outlineLevel="0" collapsed="false">
      <c r="A17" s="2" t="n">
        <v>1015</v>
      </c>
      <c r="B17" s="2" t="s">
        <v>70</v>
      </c>
      <c r="C17" s="2" t="s">
        <v>71</v>
      </c>
      <c r="D17" s="3" t="n">
        <v>38448</v>
      </c>
      <c r="E17" s="2" t="s">
        <v>72</v>
      </c>
      <c r="F17" s="2" t="s">
        <v>73</v>
      </c>
      <c r="G17" s="2" t="n">
        <v>35</v>
      </c>
      <c r="H17" s="2" t="str">
        <f aca="false">IF(OR(B17&lt;&gt;TRIM(B17),C17&lt;&gt;TRIM(C17)),"extra space","OK")</f>
        <v>OK</v>
      </c>
      <c r="I17" s="2" t="str">
        <f aca="false">IF(ISNUMBER(D17),"OK","not a date")</f>
        <v>OK</v>
      </c>
      <c r="J17" s="2" t="str">
        <f aca="false">IF(COUNTBLANK(A17:G17)&gt;0,"missing value","OK")</f>
        <v>OK</v>
      </c>
      <c r="K17" s="2" t="str">
        <f aca="false">IF(ISNUMBER(G17),"OK","wrong format")</f>
        <v>OK</v>
      </c>
      <c r="L17" s="2" t="str">
        <f aca="false">IF(COUNTIF($A$2:$A$32,A17)&gt;1,"duplicate ID","OK")</f>
        <v>OK</v>
      </c>
    </row>
    <row r="18" customFormat="false" ht="15" hidden="false" customHeight="false" outlineLevel="0" collapsed="false">
      <c r="A18" s="2" t="n">
        <v>1016</v>
      </c>
      <c r="B18" s="2" t="s">
        <v>74</v>
      </c>
      <c r="C18" s="2" t="s">
        <v>75</v>
      </c>
      <c r="D18" s="3" t="n">
        <v>38031</v>
      </c>
      <c r="E18" s="2" t="s">
        <v>76</v>
      </c>
      <c r="F18" s="2" t="s">
        <v>77</v>
      </c>
      <c r="G18" s="2" t="n">
        <v>21</v>
      </c>
      <c r="H18" s="2" t="str">
        <f aca="false">IF(OR(B18&lt;&gt;TRIM(B18),C18&lt;&gt;TRIM(C18)),"extra space","OK")</f>
        <v>OK</v>
      </c>
      <c r="I18" s="2" t="str">
        <f aca="false">IF(ISNUMBER(D18),"OK","not a date")</f>
        <v>OK</v>
      </c>
      <c r="J18" s="2" t="str">
        <f aca="false">IF(COUNTBLANK(A18:G18)&gt;0,"missing value","OK")</f>
        <v>OK</v>
      </c>
      <c r="K18" s="2" t="str">
        <f aca="false">IF(ISNUMBER(G18),"OK","wrong format")</f>
        <v>OK</v>
      </c>
      <c r="L18" s="2" t="str">
        <f aca="false">IF(COUNTIF($A$2:$A$32,A18)&gt;1,"duplicate ID","OK")</f>
        <v>OK</v>
      </c>
    </row>
    <row r="19" customFormat="false" ht="15" hidden="false" customHeight="false" outlineLevel="0" collapsed="false">
      <c r="A19" s="2" t="n">
        <v>1017</v>
      </c>
      <c r="B19" s="2" t="s">
        <v>78</v>
      </c>
      <c r="C19" s="2" t="s">
        <v>79</v>
      </c>
      <c r="D19" s="3" t="n">
        <v>38480</v>
      </c>
      <c r="E19" s="4"/>
      <c r="F19" s="2" t="s">
        <v>80</v>
      </c>
      <c r="G19" s="2" t="n">
        <v>22</v>
      </c>
      <c r="H19" s="2" t="str">
        <f aca="false">IF(OR(B19&lt;&gt;TRIM(B19),C19&lt;&gt;TRIM(C19)),"extra space","OK")</f>
        <v>OK</v>
      </c>
      <c r="I19" s="2" t="str">
        <f aca="false">IF(ISNUMBER(D19),"OK","not a date")</f>
        <v>OK</v>
      </c>
      <c r="J19" s="2" t="str">
        <f aca="false">IF(COUNTBLANK(A19:G19)&gt;0,"missing value","OK")</f>
        <v>missing value</v>
      </c>
      <c r="K19" s="2" t="str">
        <f aca="false">IF(ISNUMBER(G19),"OK","wrong format")</f>
        <v>OK</v>
      </c>
      <c r="L19" s="2" t="str">
        <f aca="false">IF(COUNTIF($A$2:$A$32,A19)&gt;1,"duplicate ID","OK")</f>
        <v>OK</v>
      </c>
    </row>
    <row r="20" customFormat="false" ht="15" hidden="false" customHeight="false" outlineLevel="0" collapsed="false">
      <c r="A20" s="2" t="n">
        <v>1018</v>
      </c>
      <c r="B20" s="2" t="s">
        <v>81</v>
      </c>
      <c r="C20" s="2" t="s">
        <v>82</v>
      </c>
      <c r="D20" s="3" t="n">
        <v>39219</v>
      </c>
      <c r="E20" s="2" t="s">
        <v>83</v>
      </c>
      <c r="F20" s="2" t="s">
        <v>84</v>
      </c>
      <c r="G20" s="2" t="n">
        <v>23</v>
      </c>
      <c r="H20" s="2" t="str">
        <f aca="false">IF(OR(B20&lt;&gt;TRIM(B20),C20&lt;&gt;TRIM(C20)),"extra space","OK")</f>
        <v>OK</v>
      </c>
      <c r="I20" s="2" t="str">
        <f aca="false">IF(ISNUMBER(D20),"OK","not a date")</f>
        <v>OK</v>
      </c>
      <c r="J20" s="2" t="str">
        <f aca="false">IF(COUNTBLANK(A20:G20)&gt;0,"missing value","OK")</f>
        <v>OK</v>
      </c>
      <c r="K20" s="2" t="str">
        <f aca="false">IF(ISNUMBER(G20),"OK","wrong format")</f>
        <v>OK</v>
      </c>
      <c r="L20" s="2" t="str">
        <f aca="false">IF(COUNTIF($A$2:$A$32,A20)&gt;1,"duplicate ID","OK")</f>
        <v>OK</v>
      </c>
    </row>
    <row r="21" customFormat="false" ht="15" hidden="false" customHeight="false" outlineLevel="0" collapsed="false">
      <c r="A21" s="2" t="n">
        <v>1019</v>
      </c>
      <c r="B21" s="2" t="s">
        <v>85</v>
      </c>
      <c r="C21" s="2" t="s">
        <v>86</v>
      </c>
      <c r="D21" s="3" t="n">
        <v>38582</v>
      </c>
      <c r="E21" s="2" t="s">
        <v>87</v>
      </c>
      <c r="F21" s="2" t="s">
        <v>88</v>
      </c>
      <c r="G21" s="2" t="n">
        <v>24</v>
      </c>
      <c r="H21" s="2" t="str">
        <f aca="false">IF(OR(B21&lt;&gt;TRIM(B21),C21&lt;&gt;TRIM(C21)),"extra space","OK")</f>
        <v>OK</v>
      </c>
      <c r="I21" s="2" t="str">
        <f aca="false">IF(ISNUMBER(D21),"OK","not a date")</f>
        <v>OK</v>
      </c>
      <c r="J21" s="2" t="str">
        <f aca="false">IF(COUNTBLANK(A21:G21)&gt;0,"missing value","OK")</f>
        <v>OK</v>
      </c>
      <c r="K21" s="2" t="str">
        <f aca="false">IF(ISNUMBER(G21),"OK","wrong format")</f>
        <v>OK</v>
      </c>
      <c r="L21" s="2" t="str">
        <f aca="false">IF(COUNTIF($A$2:$A$32,A21)&gt;1,"duplicate ID","OK")</f>
        <v>OK</v>
      </c>
    </row>
    <row r="22" customFormat="false" ht="15" hidden="false" customHeight="false" outlineLevel="0" collapsed="false">
      <c r="A22" s="2" t="n">
        <v>1020</v>
      </c>
      <c r="B22" s="2" t="s">
        <v>89</v>
      </c>
      <c r="C22" s="2" t="s">
        <v>90</v>
      </c>
      <c r="D22" s="3" t="n">
        <v>38355</v>
      </c>
      <c r="E22" s="2" t="s">
        <v>91</v>
      </c>
      <c r="F22" s="2" t="s">
        <v>92</v>
      </c>
      <c r="G22" s="2" t="n">
        <v>25</v>
      </c>
      <c r="H22" s="2" t="str">
        <f aca="false">IF(OR(B22&lt;&gt;TRIM(B22),C22&lt;&gt;TRIM(C22)),"extra space","OK")</f>
        <v>OK</v>
      </c>
      <c r="I22" s="2" t="str">
        <f aca="false">IF(ISNUMBER(D22),"OK","not a date")</f>
        <v>OK</v>
      </c>
      <c r="J22" s="2" t="str">
        <f aca="false">IF(COUNTBLANK(A22:G22)&gt;0,"missing value","OK")</f>
        <v>OK</v>
      </c>
      <c r="K22" s="2" t="str">
        <f aca="false">IF(ISNUMBER(G22),"OK","wrong format")</f>
        <v>OK</v>
      </c>
      <c r="L22" s="2" t="str">
        <f aca="false">IF(COUNTIF($A$2:$A$32,A22)&gt;1,"duplicate ID","OK")</f>
        <v>OK</v>
      </c>
    </row>
    <row r="23" customFormat="false" ht="15" hidden="false" customHeight="false" outlineLevel="0" collapsed="false">
      <c r="A23" s="2" t="n">
        <v>1021</v>
      </c>
      <c r="B23" s="2" t="s">
        <v>93</v>
      </c>
      <c r="C23" s="2" t="s">
        <v>94</v>
      </c>
      <c r="D23" s="3" t="n">
        <v>39088</v>
      </c>
      <c r="E23" s="2" t="s">
        <v>95</v>
      </c>
      <c r="F23" s="2" t="s">
        <v>96</v>
      </c>
      <c r="G23" s="2" t="n">
        <v>26</v>
      </c>
      <c r="H23" s="2" t="str">
        <f aca="false">IF(OR(B23&lt;&gt;TRIM(B23),C23&lt;&gt;TRIM(C23)),"extra space","OK")</f>
        <v>OK</v>
      </c>
      <c r="I23" s="2" t="str">
        <f aca="false">IF(ISNUMBER(D23),"OK","not a date")</f>
        <v>OK</v>
      </c>
      <c r="J23" s="2" t="str">
        <f aca="false">IF(COUNTBLANK(A23:G23)&gt;0,"missing value","OK")</f>
        <v>OK</v>
      </c>
      <c r="K23" s="2" t="str">
        <f aca="false">IF(ISNUMBER(G23),"OK","wrong format")</f>
        <v>OK</v>
      </c>
      <c r="L23" s="2" t="str">
        <f aca="false">IF(COUNTIF($A$2:$A$32,A23)&gt;1,"duplicate ID","OK")</f>
        <v>OK</v>
      </c>
    </row>
    <row r="24" customFormat="false" ht="15" hidden="false" customHeight="false" outlineLevel="0" collapsed="false">
      <c r="A24" s="2" t="n">
        <v>1022</v>
      </c>
      <c r="B24" s="2" t="s">
        <v>97</v>
      </c>
      <c r="C24" s="2" t="s">
        <v>98</v>
      </c>
      <c r="D24" s="3" t="n">
        <v>38760</v>
      </c>
      <c r="E24" s="2" t="s">
        <v>99</v>
      </c>
      <c r="F24" s="2" t="s">
        <v>100</v>
      </c>
      <c r="G24" s="4" t="s">
        <v>101</v>
      </c>
      <c r="H24" s="2" t="str">
        <f aca="false">IF(OR(B24&lt;&gt;TRIM(B24),C24&lt;&gt;TRIM(C24)),"extra space","OK")</f>
        <v>OK</v>
      </c>
      <c r="I24" s="2" t="str">
        <f aca="false">IF(ISNUMBER(D24),"OK","not a date")</f>
        <v>OK</v>
      </c>
      <c r="J24" s="2" t="str">
        <f aca="false">IF(COUNTBLANK(A24:G24)&gt;0,"missing value","OK")</f>
        <v>OK</v>
      </c>
      <c r="K24" s="2" t="str">
        <f aca="false">IF(ISNUMBER(G24),"OK","wrong format")</f>
        <v>wrong format</v>
      </c>
      <c r="L24" s="2" t="str">
        <f aca="false">IF(COUNTIF($A$2:$A$32,A24)&gt;1,"duplicate ID","OK")</f>
        <v>OK</v>
      </c>
    </row>
    <row r="25" customFormat="false" ht="15" hidden="false" customHeight="false" outlineLevel="0" collapsed="false">
      <c r="A25" s="2" t="n">
        <v>1023</v>
      </c>
      <c r="B25" s="2" t="s">
        <v>102</v>
      </c>
      <c r="C25" s="2" t="s">
        <v>103</v>
      </c>
      <c r="D25" s="3" t="n">
        <v>38338</v>
      </c>
      <c r="E25" s="2" t="s">
        <v>104</v>
      </c>
      <c r="F25" s="2" t="s">
        <v>105</v>
      </c>
      <c r="G25" s="2" t="n">
        <v>28</v>
      </c>
      <c r="H25" s="2" t="str">
        <f aca="false">IF(OR(B25&lt;&gt;TRIM(B25),C25&lt;&gt;TRIM(C25)),"extra space","OK")</f>
        <v>OK</v>
      </c>
      <c r="I25" s="2" t="str">
        <f aca="false">IF(ISNUMBER(D25),"OK","not a date")</f>
        <v>OK</v>
      </c>
      <c r="J25" s="2" t="str">
        <f aca="false">IF(COUNTBLANK(A25:G25)&gt;0,"missing value","OK")</f>
        <v>OK</v>
      </c>
      <c r="K25" s="2" t="str">
        <f aca="false">IF(ISNUMBER(G25),"OK","wrong format")</f>
        <v>OK</v>
      </c>
      <c r="L25" s="2" t="str">
        <f aca="false">IF(COUNTIF($A$2:$A$32,A25)&gt;1,"duplicate ID","OK")</f>
        <v>OK</v>
      </c>
    </row>
    <row r="26" customFormat="false" ht="15" hidden="false" customHeight="false" outlineLevel="0" collapsed="false">
      <c r="A26" s="2" t="n">
        <v>1024</v>
      </c>
      <c r="B26" s="2" t="s">
        <v>106</v>
      </c>
      <c r="C26" s="2" t="s">
        <v>107</v>
      </c>
      <c r="D26" s="3" t="n">
        <v>39256</v>
      </c>
      <c r="E26" s="2" t="s">
        <v>108</v>
      </c>
      <c r="F26" s="2" t="s">
        <v>109</v>
      </c>
      <c r="G26" s="2" t="n">
        <v>29</v>
      </c>
      <c r="H26" s="2" t="str">
        <f aca="false">IF(OR(B26&lt;&gt;TRIM(B26),C26&lt;&gt;TRIM(C26)),"extra space","OK")</f>
        <v>OK</v>
      </c>
      <c r="I26" s="2" t="str">
        <f aca="false">IF(ISNUMBER(D26),"OK","not a date")</f>
        <v>OK</v>
      </c>
      <c r="J26" s="2" t="str">
        <f aca="false">IF(COUNTBLANK(A26:G26)&gt;0,"missing value","OK")</f>
        <v>OK</v>
      </c>
      <c r="K26" s="2" t="str">
        <f aca="false">IF(ISNUMBER(G26),"OK","wrong format")</f>
        <v>OK</v>
      </c>
      <c r="L26" s="2" t="str">
        <f aca="false">IF(COUNTIF($A$2:$A$32,A26)&gt;1,"duplicate ID","OK")</f>
        <v>OK</v>
      </c>
    </row>
    <row r="27" customFormat="false" ht="15" hidden="false" customHeight="false" outlineLevel="0" collapsed="false">
      <c r="A27" s="2" t="n">
        <v>1025</v>
      </c>
      <c r="B27" s="2" t="s">
        <v>110</v>
      </c>
      <c r="C27" s="2" t="s">
        <v>111</v>
      </c>
      <c r="D27" s="3" t="n">
        <v>38399</v>
      </c>
      <c r="E27" s="2" t="s">
        <v>112</v>
      </c>
      <c r="F27" s="2" t="s">
        <v>113</v>
      </c>
      <c r="G27" s="2" t="n">
        <v>30</v>
      </c>
      <c r="H27" s="2" t="str">
        <f aca="false">IF(OR(B27&lt;&gt;TRIM(B27),C27&lt;&gt;TRIM(C27)),"extra space","OK")</f>
        <v>OK</v>
      </c>
      <c r="I27" s="2" t="str">
        <f aca="false">IF(ISNUMBER(D27),"OK","not a date")</f>
        <v>OK</v>
      </c>
      <c r="J27" s="2" t="str">
        <f aca="false">IF(COUNTBLANK(A27:G27)&gt;0,"missing value","OK")</f>
        <v>OK</v>
      </c>
      <c r="K27" s="2" t="str">
        <f aca="false">IF(ISNUMBER(G27),"OK","wrong format")</f>
        <v>OK</v>
      </c>
      <c r="L27" s="2" t="str">
        <f aca="false">IF(COUNTIF($A$2:$A$32,A27)&gt;1,"duplicate ID","OK")</f>
        <v>OK</v>
      </c>
    </row>
    <row r="28" customFormat="false" ht="15" hidden="false" customHeight="false" outlineLevel="0" collapsed="false">
      <c r="A28" s="2" t="n">
        <v>1026</v>
      </c>
      <c r="B28" s="2" t="s">
        <v>114</v>
      </c>
      <c r="C28" s="2" t="s">
        <v>115</v>
      </c>
      <c r="D28" s="3" t="n">
        <v>39116</v>
      </c>
      <c r="E28" s="2" t="s">
        <v>116</v>
      </c>
      <c r="F28" s="2" t="s">
        <v>117</v>
      </c>
      <c r="G28" s="2" t="n">
        <v>31</v>
      </c>
      <c r="H28" s="2" t="str">
        <f aca="false">IF(OR(B28&lt;&gt;TRIM(B28),C28&lt;&gt;TRIM(C28)),"extra space","OK")</f>
        <v>OK</v>
      </c>
      <c r="I28" s="2" t="str">
        <f aca="false">IF(ISNUMBER(D28),"OK","not a date")</f>
        <v>OK</v>
      </c>
      <c r="J28" s="2" t="str">
        <f aca="false">IF(COUNTBLANK(A28:G28)&gt;0,"missing value","OK")</f>
        <v>OK</v>
      </c>
      <c r="K28" s="2" t="str">
        <f aca="false">IF(ISNUMBER(G28),"OK","wrong format")</f>
        <v>OK</v>
      </c>
      <c r="L28" s="2" t="str">
        <f aca="false">IF(COUNTIF($A$2:$A$32,A28)&gt;1,"duplicate ID","OK")</f>
        <v>OK</v>
      </c>
    </row>
    <row r="29" customFormat="false" ht="15" hidden="false" customHeight="false" outlineLevel="0" collapsed="false">
      <c r="A29" s="2" t="n">
        <v>1027</v>
      </c>
      <c r="B29" s="2" t="s">
        <v>118</v>
      </c>
      <c r="C29" s="2" t="s">
        <v>119</v>
      </c>
      <c r="D29" s="3" t="n">
        <v>38709</v>
      </c>
      <c r="E29" s="2" t="s">
        <v>120</v>
      </c>
      <c r="F29" s="2" t="s">
        <v>121</v>
      </c>
      <c r="G29" s="2" t="n">
        <v>32</v>
      </c>
      <c r="H29" s="2" t="str">
        <f aca="false">IF(OR(B29&lt;&gt;TRIM(B29),C29&lt;&gt;TRIM(C29)),"extra space","OK")</f>
        <v>OK</v>
      </c>
      <c r="I29" s="2" t="str">
        <f aca="false">IF(ISNUMBER(D29),"OK","not a date")</f>
        <v>OK</v>
      </c>
      <c r="J29" s="2" t="str">
        <f aca="false">IF(COUNTBLANK(A29:G29)&gt;0,"missing value","OK")</f>
        <v>OK</v>
      </c>
      <c r="K29" s="2" t="str">
        <f aca="false">IF(ISNUMBER(G29),"OK","wrong format")</f>
        <v>OK</v>
      </c>
      <c r="L29" s="2" t="str">
        <f aca="false">IF(COUNTIF($A$2:$A$32,A29)&gt;1,"duplicate ID","OK")</f>
        <v>OK</v>
      </c>
    </row>
    <row r="30" customFormat="false" ht="15" hidden="false" customHeight="false" outlineLevel="0" collapsed="false">
      <c r="A30" s="2" t="n">
        <v>1028</v>
      </c>
      <c r="B30" s="2" t="s">
        <v>122</v>
      </c>
      <c r="C30" s="2" t="s">
        <v>123</v>
      </c>
      <c r="D30" s="3" t="n">
        <v>38672</v>
      </c>
      <c r="E30" s="2" t="s">
        <v>124</v>
      </c>
      <c r="F30" s="2" t="s">
        <v>125</v>
      </c>
      <c r="G30" s="2" t="n">
        <v>33</v>
      </c>
      <c r="H30" s="2" t="str">
        <f aca="false">IF(OR(B30&lt;&gt;TRIM(B30),C30&lt;&gt;TRIM(C30)),"extra space","OK")</f>
        <v>OK</v>
      </c>
      <c r="I30" s="2" t="str">
        <f aca="false">IF(ISNUMBER(D30),"OK","not a date")</f>
        <v>OK</v>
      </c>
      <c r="J30" s="2" t="str">
        <f aca="false">IF(COUNTBLANK(A30:G30)&gt;0,"missing value","OK")</f>
        <v>OK</v>
      </c>
      <c r="K30" s="2" t="str">
        <f aca="false">IF(ISNUMBER(G30),"OK","wrong format")</f>
        <v>OK</v>
      </c>
      <c r="L30" s="2" t="str">
        <f aca="false">IF(COUNTIF($A$2:$A$32,A30)&gt;1,"duplicate ID","OK")</f>
        <v>OK</v>
      </c>
    </row>
    <row r="31" customFormat="false" ht="15" hidden="false" customHeight="false" outlineLevel="0" collapsed="false">
      <c r="A31" s="2" t="n">
        <v>1029</v>
      </c>
      <c r="B31" s="2" t="s">
        <v>126</v>
      </c>
      <c r="C31" s="2" t="s">
        <v>127</v>
      </c>
      <c r="D31" s="3" t="n">
        <v>39356</v>
      </c>
      <c r="E31" s="2" t="s">
        <v>128</v>
      </c>
      <c r="F31" s="2" t="s">
        <v>129</v>
      </c>
      <c r="G31" s="2" t="n">
        <v>34</v>
      </c>
      <c r="H31" s="2" t="str">
        <f aca="false">IF(OR(B31&lt;&gt;TRIM(B31),C31&lt;&gt;TRIM(C31)),"extra space","OK")</f>
        <v>OK</v>
      </c>
      <c r="I31" s="2" t="str">
        <f aca="false">IF(ISNUMBER(D31),"OK","not a date")</f>
        <v>OK</v>
      </c>
      <c r="J31" s="2" t="str">
        <f aca="false">IF(COUNTBLANK(A31:G31)&gt;0,"missing value","OK")</f>
        <v>OK</v>
      </c>
      <c r="K31" s="2" t="str">
        <f aca="false">IF(ISNUMBER(G31),"OK","wrong format")</f>
        <v>OK</v>
      </c>
      <c r="L31" s="2" t="str">
        <f aca="false">IF(COUNTIF($A$2:$A$32,A31)&gt;1,"duplicate ID","OK")</f>
        <v>OK</v>
      </c>
    </row>
    <row r="32" customFormat="false" ht="15" hidden="false" customHeight="false" outlineLevel="0" collapsed="false">
      <c r="A32" s="2" t="n">
        <v>1030</v>
      </c>
      <c r="B32" s="2" t="s">
        <v>130</v>
      </c>
      <c r="C32" s="2" t="s">
        <v>131</v>
      </c>
      <c r="D32" s="3" t="n">
        <v>38386</v>
      </c>
      <c r="E32" s="2" t="s">
        <v>132</v>
      </c>
      <c r="F32" s="2" t="s">
        <v>133</v>
      </c>
      <c r="G32" s="2" t="n">
        <v>35</v>
      </c>
      <c r="H32" s="2" t="str">
        <f aca="false">IF(OR(B32&lt;&gt;TRIM(B32),C32&lt;&gt;TRIM(C32)),"extra space","OK")</f>
        <v>OK</v>
      </c>
      <c r="I32" s="2" t="str">
        <f aca="false">IF(ISNUMBER(D32),"OK","not a date")</f>
        <v>OK</v>
      </c>
      <c r="J32" s="2" t="str">
        <f aca="false">IF(COUNTBLANK(A32:G32)&gt;0,"missing value","OK")</f>
        <v>OK</v>
      </c>
      <c r="K32" s="2" t="str">
        <f aca="false">IF(ISNUMBER(G32),"OK","wrong format")</f>
        <v>OK</v>
      </c>
      <c r="L32" s="2" t="str">
        <f aca="false">IF(COUNTIF($A$2:$A$32,A32)&gt;1,"duplicate ID","OK")</f>
        <v>OK</v>
      </c>
    </row>
    <row r="34" customFormat="false" ht="15" hidden="false" customHeight="false" outlineLevel="0" collapsed="false">
      <c r="A34" s="6" t="s">
        <v>134</v>
      </c>
    </row>
  </sheetData>
  <conditionalFormatting sqref="H2:L32">
    <cfRule type="expression" priority="2" aboveAverage="0" equalAverage="0" bottom="0" percent="0" rank="0" text="" dxfId="0">
      <formula>H2&lt;&gt;"OK"</formula>
    </cfRule>
  </conditionalFormatting>
  <conditionalFormatting sqref="A2:A32">
    <cfRule type="expression" priority="3" aboveAverage="0" equalAverage="0" bottom="0" percent="0" rank="0" text="" dxfId="1">
      <formula>COUNTIF($A$2:$A$32,A2)&gt;1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36"/>
    <col collapsed="false" customWidth="true" hidden="false" outlineLevel="0" max="6" min="6" style="0" width="19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135</v>
      </c>
    </row>
    <row r="2" customFormat="false" ht="15" hidden="false" customHeight="false" outlineLevel="0" collapsed="false">
      <c r="A2" s="2" t="n">
        <v>1001</v>
      </c>
      <c r="B2" s="2" t="s">
        <v>12</v>
      </c>
      <c r="C2" s="2" t="s">
        <v>13</v>
      </c>
      <c r="D2" s="3" t="n">
        <v>38380</v>
      </c>
      <c r="E2" s="2" t="s">
        <v>14</v>
      </c>
      <c r="F2" s="2" t="s">
        <v>15</v>
      </c>
      <c r="G2" s="2" t="n">
        <v>21</v>
      </c>
      <c r="H2" s="2"/>
    </row>
    <row r="3" customFormat="false" ht="15" hidden="false" customHeight="false" outlineLevel="0" collapsed="false">
      <c r="A3" s="2" t="n">
        <v>1002</v>
      </c>
      <c r="B3" s="2" t="s">
        <v>16</v>
      </c>
      <c r="C3" s="2" t="s">
        <v>17</v>
      </c>
      <c r="D3" s="3" t="n">
        <v>38921</v>
      </c>
      <c r="E3" s="2" t="s">
        <v>18</v>
      </c>
      <c r="F3" s="2" t="s">
        <v>19</v>
      </c>
      <c r="G3" s="2" t="n">
        <v>22</v>
      </c>
      <c r="H3" s="2"/>
    </row>
    <row r="4" customFormat="false" ht="15" hidden="false" customHeight="false" outlineLevel="0" collapsed="false">
      <c r="A4" s="2" t="n">
        <v>1003</v>
      </c>
      <c r="B4" s="2" t="s">
        <v>20</v>
      </c>
      <c r="C4" s="2" t="s">
        <v>21</v>
      </c>
      <c r="D4" s="3" t="n">
        <v>38832</v>
      </c>
      <c r="E4" s="2" t="s">
        <v>22</v>
      </c>
      <c r="F4" s="2" t="s">
        <v>23</v>
      </c>
      <c r="G4" s="2" t="n">
        <v>23</v>
      </c>
      <c r="H4" s="2"/>
    </row>
    <row r="5" customFormat="false" ht="15" hidden="false" customHeight="false" outlineLevel="0" collapsed="false">
      <c r="A5" s="2" t="n">
        <v>1004</v>
      </c>
      <c r="B5" s="2" t="s">
        <v>24</v>
      </c>
      <c r="C5" s="2" t="s">
        <v>25</v>
      </c>
      <c r="D5" s="3" t="n">
        <v>38366</v>
      </c>
      <c r="E5" s="2" t="s">
        <v>26</v>
      </c>
      <c r="F5" s="2" t="s">
        <v>27</v>
      </c>
      <c r="G5" s="2" t="n">
        <v>24</v>
      </c>
      <c r="H5" s="2"/>
    </row>
    <row r="6" customFormat="false" ht="15" hidden="false" customHeight="false" outlineLevel="0" collapsed="false">
      <c r="A6" s="2" t="n">
        <v>1005</v>
      </c>
      <c r="B6" s="2" t="s">
        <v>28</v>
      </c>
      <c r="C6" s="2" t="s">
        <v>29</v>
      </c>
      <c r="D6" s="3" t="n">
        <v>38732</v>
      </c>
      <c r="E6" s="2" t="s">
        <v>30</v>
      </c>
      <c r="F6" s="2" t="s">
        <v>31</v>
      </c>
      <c r="G6" s="2" t="n">
        <v>25</v>
      </c>
      <c r="H6" s="7" t="s">
        <v>136</v>
      </c>
    </row>
    <row r="7" customFormat="false" ht="15" hidden="false" customHeight="false" outlineLevel="0" collapsed="false">
      <c r="A7" s="2" t="n">
        <v>1006</v>
      </c>
      <c r="B7" s="2" t="s">
        <v>137</v>
      </c>
      <c r="C7" s="2" t="s">
        <v>33</v>
      </c>
      <c r="D7" s="3" t="n">
        <v>39311</v>
      </c>
      <c r="E7" s="2" t="s">
        <v>34</v>
      </c>
      <c r="F7" s="2" t="s">
        <v>35</v>
      </c>
      <c r="G7" s="2" t="n">
        <v>26</v>
      </c>
      <c r="H7" s="7" t="s">
        <v>138</v>
      </c>
    </row>
    <row r="8" customFormat="false" ht="15" hidden="false" customHeight="false" outlineLevel="0" collapsed="false">
      <c r="A8" s="2" t="n">
        <v>1007</v>
      </c>
      <c r="B8" s="2" t="s">
        <v>36</v>
      </c>
      <c r="C8" s="2" t="s">
        <v>37</v>
      </c>
      <c r="D8" s="3" t="n">
        <v>38537</v>
      </c>
      <c r="E8" s="2" t="s">
        <v>38</v>
      </c>
      <c r="F8" s="2" t="s">
        <v>39</v>
      </c>
      <c r="G8" s="2" t="n">
        <v>27</v>
      </c>
      <c r="H8" s="7" t="s">
        <v>139</v>
      </c>
    </row>
    <row r="9" customFormat="false" ht="15" hidden="false" customHeight="false" outlineLevel="0" collapsed="false">
      <c r="A9" s="2" t="n">
        <v>1008</v>
      </c>
      <c r="B9" s="2" t="s">
        <v>41</v>
      </c>
      <c r="C9" s="2" t="s">
        <v>42</v>
      </c>
      <c r="D9" s="3" t="n">
        <v>38635</v>
      </c>
      <c r="E9" s="2" t="s">
        <v>43</v>
      </c>
      <c r="F9" s="2" t="s">
        <v>44</v>
      </c>
      <c r="G9" s="2" t="n">
        <v>28</v>
      </c>
      <c r="H9" s="2"/>
    </row>
    <row r="10" customFormat="false" ht="15" hidden="false" customHeight="false" outlineLevel="0" collapsed="false">
      <c r="A10" s="2" t="n">
        <v>1009</v>
      </c>
      <c r="B10" s="2" t="s">
        <v>45</v>
      </c>
      <c r="C10" s="2" t="s">
        <v>46</v>
      </c>
      <c r="D10" s="3" t="n">
        <v>39040</v>
      </c>
      <c r="E10" s="2" t="s">
        <v>48</v>
      </c>
      <c r="F10" s="2" t="s">
        <v>49</v>
      </c>
      <c r="G10" s="2" t="n">
        <v>29</v>
      </c>
      <c r="H10" s="7" t="s">
        <v>140</v>
      </c>
    </row>
    <row r="11" customFormat="false" ht="15" hidden="false" customHeight="false" outlineLevel="0" collapsed="false">
      <c r="A11" s="2" t="n">
        <v>1010</v>
      </c>
      <c r="B11" s="2" t="s">
        <v>50</v>
      </c>
      <c r="C11" s="2" t="s">
        <v>141</v>
      </c>
      <c r="D11" s="3" t="n">
        <v>38838</v>
      </c>
      <c r="E11" s="2" t="s">
        <v>52</v>
      </c>
      <c r="F11" s="2" t="s">
        <v>53</v>
      </c>
      <c r="G11" s="2" t="n">
        <v>30</v>
      </c>
      <c r="H11" s="7" t="s">
        <v>138</v>
      </c>
    </row>
    <row r="12" customFormat="false" ht="15" hidden="false" customHeight="false" outlineLevel="0" collapsed="false">
      <c r="A12" s="2" t="n">
        <v>1011</v>
      </c>
      <c r="B12" s="2" t="s">
        <v>54</v>
      </c>
      <c r="C12" s="2" t="s">
        <v>55</v>
      </c>
      <c r="D12" s="3" t="n">
        <v>39116</v>
      </c>
      <c r="E12" s="2" t="s">
        <v>56</v>
      </c>
      <c r="F12" s="2" t="s">
        <v>57</v>
      </c>
      <c r="G12" s="2" t="n">
        <v>31</v>
      </c>
      <c r="H12" s="2"/>
    </row>
    <row r="13" customFormat="false" ht="15" hidden="false" customHeight="false" outlineLevel="0" collapsed="false">
      <c r="A13" s="2" t="n">
        <v>1012</v>
      </c>
      <c r="B13" s="2" t="s">
        <v>58</v>
      </c>
      <c r="C13" s="2" t="s">
        <v>59</v>
      </c>
      <c r="D13" s="3" t="n">
        <v>39002</v>
      </c>
      <c r="E13" s="2" t="s">
        <v>60</v>
      </c>
      <c r="F13" s="2" t="s">
        <v>61</v>
      </c>
      <c r="G13" s="2" t="n">
        <v>32</v>
      </c>
      <c r="H13" s="2"/>
    </row>
    <row r="14" customFormat="false" ht="15" hidden="false" customHeight="false" outlineLevel="0" collapsed="false">
      <c r="A14" s="2" t="n">
        <v>1013</v>
      </c>
      <c r="B14" s="2" t="s">
        <v>62</v>
      </c>
      <c r="C14" s="2" t="s">
        <v>63</v>
      </c>
      <c r="D14" s="3" t="n">
        <v>38226</v>
      </c>
      <c r="E14" s="2" t="s">
        <v>64</v>
      </c>
      <c r="F14" s="2" t="s">
        <v>65</v>
      </c>
      <c r="G14" s="2" t="n">
        <v>33</v>
      </c>
      <c r="H14" s="2"/>
    </row>
    <row r="15" customFormat="false" ht="15" hidden="false" customHeight="false" outlineLevel="0" collapsed="false">
      <c r="A15" s="2" t="n">
        <v>1014</v>
      </c>
      <c r="B15" s="2" t="s">
        <v>66</v>
      </c>
      <c r="C15" s="2" t="s">
        <v>67</v>
      </c>
      <c r="D15" s="3" t="n">
        <v>38786</v>
      </c>
      <c r="E15" s="2" t="s">
        <v>68</v>
      </c>
      <c r="F15" s="2" t="s">
        <v>69</v>
      </c>
      <c r="G15" s="2" t="n">
        <v>34</v>
      </c>
      <c r="H15" s="2"/>
    </row>
    <row r="16" customFormat="false" ht="15" hidden="false" customHeight="false" outlineLevel="0" collapsed="false">
      <c r="A16" s="2" t="n">
        <v>1015</v>
      </c>
      <c r="B16" s="2" t="s">
        <v>70</v>
      </c>
      <c r="C16" s="2" t="s">
        <v>71</v>
      </c>
      <c r="D16" s="3" t="n">
        <v>38448</v>
      </c>
      <c r="E16" s="2" t="s">
        <v>72</v>
      </c>
      <c r="F16" s="2" t="s">
        <v>73</v>
      </c>
      <c r="G16" s="2" t="n">
        <v>35</v>
      </c>
      <c r="H16" s="2"/>
    </row>
    <row r="17" customFormat="false" ht="15" hidden="false" customHeight="false" outlineLevel="0" collapsed="false">
      <c r="A17" s="2" t="n">
        <v>1016</v>
      </c>
      <c r="B17" s="2" t="s">
        <v>74</v>
      </c>
      <c r="C17" s="2" t="s">
        <v>75</v>
      </c>
      <c r="D17" s="3" t="n">
        <v>38031</v>
      </c>
      <c r="E17" s="2" t="s">
        <v>76</v>
      </c>
      <c r="F17" s="2" t="s">
        <v>77</v>
      </c>
      <c r="G17" s="2" t="n">
        <v>21</v>
      </c>
      <c r="H17" s="2"/>
    </row>
    <row r="18" customFormat="false" ht="15" hidden="false" customHeight="false" outlineLevel="0" collapsed="false">
      <c r="A18" s="2" t="n">
        <v>1017</v>
      </c>
      <c r="B18" s="2" t="s">
        <v>78</v>
      </c>
      <c r="C18" s="2" t="s">
        <v>79</v>
      </c>
      <c r="D18" s="3" t="n">
        <v>38480</v>
      </c>
      <c r="E18" s="8"/>
      <c r="F18" s="2" t="s">
        <v>80</v>
      </c>
      <c r="G18" s="2" t="n">
        <v>22</v>
      </c>
      <c r="H18" s="8" t="s">
        <v>142</v>
      </c>
    </row>
    <row r="19" customFormat="false" ht="15" hidden="false" customHeight="false" outlineLevel="0" collapsed="false">
      <c r="A19" s="2" t="n">
        <v>1018</v>
      </c>
      <c r="B19" s="2" t="s">
        <v>81</v>
      </c>
      <c r="C19" s="2" t="s">
        <v>82</v>
      </c>
      <c r="D19" s="3" t="n">
        <v>39219</v>
      </c>
      <c r="E19" s="2" t="s">
        <v>83</v>
      </c>
      <c r="F19" s="2" t="s">
        <v>84</v>
      </c>
      <c r="G19" s="2" t="n">
        <v>23</v>
      </c>
      <c r="H19" s="2"/>
    </row>
    <row r="20" customFormat="false" ht="15" hidden="false" customHeight="false" outlineLevel="0" collapsed="false">
      <c r="A20" s="2" t="n">
        <v>1019</v>
      </c>
      <c r="B20" s="2" t="s">
        <v>85</v>
      </c>
      <c r="C20" s="2" t="s">
        <v>86</v>
      </c>
      <c r="D20" s="3" t="n">
        <v>38582</v>
      </c>
      <c r="E20" s="2" t="s">
        <v>87</v>
      </c>
      <c r="F20" s="2" t="s">
        <v>88</v>
      </c>
      <c r="G20" s="2" t="n">
        <v>24</v>
      </c>
      <c r="H20" s="2"/>
    </row>
    <row r="21" customFormat="false" ht="15" hidden="false" customHeight="false" outlineLevel="0" collapsed="false">
      <c r="A21" s="2" t="n">
        <v>1020</v>
      </c>
      <c r="B21" s="2" t="s">
        <v>89</v>
      </c>
      <c r="C21" s="2" t="s">
        <v>90</v>
      </c>
      <c r="D21" s="3" t="n">
        <v>38355</v>
      </c>
      <c r="E21" s="2" t="s">
        <v>91</v>
      </c>
      <c r="F21" s="2" t="s">
        <v>92</v>
      </c>
      <c r="G21" s="2" t="n">
        <v>25</v>
      </c>
      <c r="H21" s="2"/>
    </row>
    <row r="22" customFormat="false" ht="15" hidden="false" customHeight="false" outlineLevel="0" collapsed="false">
      <c r="A22" s="2" t="n">
        <v>1021</v>
      </c>
      <c r="B22" s="2" t="s">
        <v>93</v>
      </c>
      <c r="C22" s="2" t="s">
        <v>94</v>
      </c>
      <c r="D22" s="3" t="n">
        <v>39088</v>
      </c>
      <c r="E22" s="2" t="s">
        <v>95</v>
      </c>
      <c r="F22" s="2" t="s">
        <v>96</v>
      </c>
      <c r="G22" s="2" t="n">
        <v>26</v>
      </c>
      <c r="H22" s="2"/>
    </row>
    <row r="23" customFormat="false" ht="15" hidden="false" customHeight="false" outlineLevel="0" collapsed="false">
      <c r="A23" s="2" t="n">
        <v>1022</v>
      </c>
      <c r="B23" s="2" t="s">
        <v>97</v>
      </c>
      <c r="C23" s="2" t="s">
        <v>98</v>
      </c>
      <c r="D23" s="3" t="n">
        <v>38760</v>
      </c>
      <c r="E23" s="2" t="s">
        <v>99</v>
      </c>
      <c r="F23" s="2" t="s">
        <v>100</v>
      </c>
      <c r="G23" s="2" t="n">
        <v>27</v>
      </c>
      <c r="H23" s="7" t="s">
        <v>143</v>
      </c>
    </row>
    <row r="24" customFormat="false" ht="15" hidden="false" customHeight="false" outlineLevel="0" collapsed="false">
      <c r="A24" s="2" t="n">
        <v>1023</v>
      </c>
      <c r="B24" s="2" t="s">
        <v>102</v>
      </c>
      <c r="C24" s="2" t="s">
        <v>103</v>
      </c>
      <c r="D24" s="3" t="n">
        <v>38338</v>
      </c>
      <c r="E24" s="2" t="s">
        <v>104</v>
      </c>
      <c r="F24" s="2" t="s">
        <v>105</v>
      </c>
      <c r="G24" s="2" t="n">
        <v>28</v>
      </c>
      <c r="H24" s="2"/>
    </row>
    <row r="25" customFormat="false" ht="15" hidden="false" customHeight="false" outlineLevel="0" collapsed="false">
      <c r="A25" s="2" t="n">
        <v>1024</v>
      </c>
      <c r="B25" s="2" t="s">
        <v>106</v>
      </c>
      <c r="C25" s="2" t="s">
        <v>107</v>
      </c>
      <c r="D25" s="3" t="n">
        <v>39256</v>
      </c>
      <c r="E25" s="2" t="s">
        <v>108</v>
      </c>
      <c r="F25" s="2" t="s">
        <v>109</v>
      </c>
      <c r="G25" s="2" t="n">
        <v>29</v>
      </c>
      <c r="H25" s="2"/>
    </row>
    <row r="26" customFormat="false" ht="15" hidden="false" customHeight="false" outlineLevel="0" collapsed="false">
      <c r="A26" s="2" t="n">
        <v>1025</v>
      </c>
      <c r="B26" s="2" t="s">
        <v>110</v>
      </c>
      <c r="C26" s="2" t="s">
        <v>111</v>
      </c>
      <c r="D26" s="3" t="n">
        <v>38399</v>
      </c>
      <c r="E26" s="2" t="s">
        <v>112</v>
      </c>
      <c r="F26" s="2" t="s">
        <v>113</v>
      </c>
      <c r="G26" s="2" t="n">
        <v>30</v>
      </c>
      <c r="H26" s="2"/>
    </row>
    <row r="27" customFormat="false" ht="15" hidden="false" customHeight="false" outlineLevel="0" collapsed="false">
      <c r="A27" s="2" t="n">
        <v>1026</v>
      </c>
      <c r="B27" s="2" t="s">
        <v>114</v>
      </c>
      <c r="C27" s="2" t="s">
        <v>115</v>
      </c>
      <c r="D27" s="3" t="n">
        <v>39116</v>
      </c>
      <c r="E27" s="2" t="s">
        <v>116</v>
      </c>
      <c r="F27" s="2" t="s">
        <v>117</v>
      </c>
      <c r="G27" s="2" t="n">
        <v>31</v>
      </c>
      <c r="H27" s="2"/>
    </row>
    <row r="28" customFormat="false" ht="15" hidden="false" customHeight="false" outlineLevel="0" collapsed="false">
      <c r="A28" s="2" t="n">
        <v>1027</v>
      </c>
      <c r="B28" s="2" t="s">
        <v>118</v>
      </c>
      <c r="C28" s="2" t="s">
        <v>119</v>
      </c>
      <c r="D28" s="3" t="n">
        <v>38709</v>
      </c>
      <c r="E28" s="2" t="s">
        <v>120</v>
      </c>
      <c r="F28" s="2" t="s">
        <v>121</v>
      </c>
      <c r="G28" s="2" t="n">
        <v>32</v>
      </c>
      <c r="H28" s="2"/>
    </row>
    <row r="29" customFormat="false" ht="15" hidden="false" customHeight="false" outlineLevel="0" collapsed="false">
      <c r="A29" s="2" t="n">
        <v>1028</v>
      </c>
      <c r="B29" s="2" t="s">
        <v>122</v>
      </c>
      <c r="C29" s="2" t="s">
        <v>123</v>
      </c>
      <c r="D29" s="3" t="n">
        <v>38672</v>
      </c>
      <c r="E29" s="2" t="s">
        <v>124</v>
      </c>
      <c r="F29" s="2" t="s">
        <v>125</v>
      </c>
      <c r="G29" s="2" t="n">
        <v>33</v>
      </c>
      <c r="H29" s="2"/>
    </row>
    <row r="30" customFormat="false" ht="15" hidden="false" customHeight="false" outlineLevel="0" collapsed="false">
      <c r="A30" s="2" t="n">
        <v>1029</v>
      </c>
      <c r="B30" s="2" t="s">
        <v>126</v>
      </c>
      <c r="C30" s="2" t="s">
        <v>127</v>
      </c>
      <c r="D30" s="3" t="n">
        <v>39356</v>
      </c>
      <c r="E30" s="2" t="s">
        <v>128</v>
      </c>
      <c r="F30" s="2" t="s">
        <v>129</v>
      </c>
      <c r="G30" s="2" t="n">
        <v>34</v>
      </c>
      <c r="H30" s="2"/>
    </row>
    <row r="31" customFormat="false" ht="15" hidden="false" customHeight="false" outlineLevel="0" collapsed="false">
      <c r="A31" s="2" t="n">
        <v>1030</v>
      </c>
      <c r="B31" s="2" t="s">
        <v>130</v>
      </c>
      <c r="C31" s="2" t="s">
        <v>131</v>
      </c>
      <c r="D31" s="3" t="n">
        <v>38386</v>
      </c>
      <c r="E31" s="2" t="s">
        <v>132</v>
      </c>
      <c r="F31" s="2" t="s">
        <v>133</v>
      </c>
      <c r="G31" s="2" t="n">
        <v>35</v>
      </c>
      <c r="H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32"/>
  </cols>
  <sheetData>
    <row r="1" customFormat="false" ht="26.85" hidden="false" customHeight="false" outlineLevel="0" collapsed="false">
      <c r="A1" s="1" t="s">
        <v>144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customFormat="false" ht="15" hidden="false" customHeight="false" outlineLevel="0" collapsed="false">
      <c r="A2" s="9" t="n">
        <v>1</v>
      </c>
      <c r="B2" s="9" t="s">
        <v>151</v>
      </c>
      <c r="C2" s="9" t="s">
        <v>152</v>
      </c>
      <c r="D2" s="9" t="s">
        <v>153</v>
      </c>
      <c r="E2" s="9" t="s">
        <v>154</v>
      </c>
      <c r="F2" s="9" t="s">
        <v>155</v>
      </c>
      <c r="G2" s="9" t="s">
        <v>156</v>
      </c>
    </row>
    <row r="3" customFormat="false" ht="15" hidden="false" customHeight="false" outlineLevel="0" collapsed="false">
      <c r="A3" s="9" t="n">
        <v>2</v>
      </c>
      <c r="B3" s="9" t="s">
        <v>151</v>
      </c>
      <c r="C3" s="9" t="s">
        <v>157</v>
      </c>
      <c r="D3" s="9" t="s">
        <v>158</v>
      </c>
      <c r="E3" s="9" t="s">
        <v>159</v>
      </c>
      <c r="F3" s="9" t="s">
        <v>155</v>
      </c>
      <c r="G3" s="9" t="s">
        <v>156</v>
      </c>
    </row>
    <row r="4" customFormat="false" ht="15" hidden="false" customHeight="false" outlineLevel="0" collapsed="false">
      <c r="A4" s="9" t="n">
        <v>3</v>
      </c>
      <c r="B4" s="9" t="s">
        <v>160</v>
      </c>
      <c r="C4" s="9" t="s">
        <v>161</v>
      </c>
      <c r="D4" s="9" t="s">
        <v>101</v>
      </c>
      <c r="E4" s="9" t="s">
        <v>40</v>
      </c>
      <c r="F4" s="9" t="s">
        <v>162</v>
      </c>
      <c r="G4" s="9" t="s">
        <v>163</v>
      </c>
    </row>
    <row r="5" customFormat="false" ht="15" hidden="false" customHeight="false" outlineLevel="0" collapsed="false">
      <c r="A5" s="9" t="n">
        <v>4</v>
      </c>
      <c r="B5" s="9" t="s">
        <v>164</v>
      </c>
      <c r="C5" s="9" t="s">
        <v>165</v>
      </c>
      <c r="D5" s="9" t="s">
        <v>166</v>
      </c>
      <c r="E5" s="9" t="s">
        <v>167</v>
      </c>
      <c r="F5" s="9" t="s">
        <v>168</v>
      </c>
      <c r="G5" s="9" t="s">
        <v>169</v>
      </c>
    </row>
    <row r="6" customFormat="false" ht="15" hidden="false" customHeight="false" outlineLevel="0" collapsed="false">
      <c r="A6" s="9" t="n">
        <v>5</v>
      </c>
      <c r="B6" s="9" t="s">
        <v>170</v>
      </c>
      <c r="C6" s="9" t="s">
        <v>171</v>
      </c>
      <c r="D6" s="9" t="s">
        <v>172</v>
      </c>
      <c r="E6" s="9" t="s">
        <v>173</v>
      </c>
      <c r="F6" s="9" t="s">
        <v>174</v>
      </c>
      <c r="G6" s="9" t="s">
        <v>175</v>
      </c>
    </row>
    <row r="7" customFormat="false" ht="23.85" hidden="false" customHeight="false" outlineLevel="0" collapsed="false">
      <c r="A7" s="9" t="n">
        <v>6</v>
      </c>
      <c r="B7" s="9" t="s">
        <v>176</v>
      </c>
      <c r="C7" s="9" t="s">
        <v>177</v>
      </c>
      <c r="D7" s="9" t="s">
        <v>178</v>
      </c>
      <c r="E7" s="9" t="s">
        <v>179</v>
      </c>
      <c r="F7" s="9" t="s">
        <v>180</v>
      </c>
      <c r="G7" s="9" t="s">
        <v>181</v>
      </c>
    </row>
    <row r="8" customFormat="false" ht="23.85" hidden="false" customHeight="false" outlineLevel="0" collapsed="false">
      <c r="A8" s="9" t="n">
        <v>7</v>
      </c>
      <c r="B8" s="9" t="s">
        <v>182</v>
      </c>
      <c r="C8" s="9" t="s">
        <v>183</v>
      </c>
      <c r="D8" s="9" t="s">
        <v>184</v>
      </c>
      <c r="E8" s="9" t="s">
        <v>185</v>
      </c>
      <c r="F8" s="9" t="s">
        <v>186</v>
      </c>
      <c r="G8" s="9" t="s">
        <v>187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4" min="3" style="0" width="16"/>
    <col collapsed="false" customWidth="true" hidden="false" outlineLevel="0" max="5" min="5" style="0" width="40"/>
    <col collapsed="false" customWidth="true" hidden="false" outlineLevel="0" max="6" min="6" style="0" width="44"/>
  </cols>
  <sheetData>
    <row r="1" customFormat="false" ht="39.55" hidden="false" customHeight="false" outlineLevel="0" collapsed="false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</row>
    <row r="2" customFormat="false" ht="15" hidden="false" customHeight="false" outlineLevel="0" collapsed="false">
      <c r="A2" s="2" t="s">
        <v>0</v>
      </c>
      <c r="B2" s="2" t="s">
        <v>194</v>
      </c>
      <c r="C2" s="10" t="n">
        <f aca="false">COUNTBLANK(Students_Cleaning!A2:A32)</f>
        <v>0</v>
      </c>
      <c r="D2" s="10" t="n">
        <f aca="false">COUNTBLANK(Students_Cleaned!A2:A31)</f>
        <v>0</v>
      </c>
      <c r="E2" s="2" t="s">
        <v>195</v>
      </c>
      <c r="F2" s="2" t="s">
        <v>196</v>
      </c>
    </row>
    <row r="3" customFormat="false" ht="15" hidden="false" customHeight="false" outlineLevel="0" collapsed="false">
      <c r="A3" s="2" t="s">
        <v>1</v>
      </c>
      <c r="B3" s="2" t="s">
        <v>194</v>
      </c>
      <c r="C3" s="10" t="n">
        <f aca="false">COUNTBLANK(Students_Cleaning!B2:B32)</f>
        <v>0</v>
      </c>
      <c r="D3" s="10" t="n">
        <f aca="false">COUNTBLANK(Students_Cleaned!B2:B31)</f>
        <v>0</v>
      </c>
      <c r="E3" s="2" t="s">
        <v>195</v>
      </c>
      <c r="F3" s="2" t="s">
        <v>196</v>
      </c>
    </row>
    <row r="4" customFormat="false" ht="15" hidden="false" customHeight="false" outlineLevel="0" collapsed="false">
      <c r="A4" s="2" t="s">
        <v>2</v>
      </c>
      <c r="B4" s="2" t="s">
        <v>194</v>
      </c>
      <c r="C4" s="10" t="n">
        <f aca="false">COUNTBLANK(Students_Cleaning!C2:C32)</f>
        <v>0</v>
      </c>
      <c r="D4" s="10" t="n">
        <f aca="false">COUNTBLANK(Students_Cleaned!C2:C31)</f>
        <v>0</v>
      </c>
      <c r="E4" s="2" t="s">
        <v>195</v>
      </c>
      <c r="F4" s="2" t="s">
        <v>196</v>
      </c>
    </row>
    <row r="5" customFormat="false" ht="15" hidden="false" customHeight="false" outlineLevel="0" collapsed="false">
      <c r="A5" s="2" t="s">
        <v>3</v>
      </c>
      <c r="B5" s="2" t="s">
        <v>194</v>
      </c>
      <c r="C5" s="10" t="n">
        <f aca="false">COUNTBLANK(Students_Cleaning!D2:D32)</f>
        <v>0</v>
      </c>
      <c r="D5" s="10" t="n">
        <f aca="false">COUNTBLANK(Students_Cleaned!D2:D31)</f>
        <v>0</v>
      </c>
      <c r="E5" s="2" t="s">
        <v>195</v>
      </c>
      <c r="F5" s="2" t="s">
        <v>196</v>
      </c>
    </row>
    <row r="6" customFormat="false" ht="15" hidden="false" customHeight="false" outlineLevel="0" collapsed="false">
      <c r="A6" s="2" t="s">
        <v>4</v>
      </c>
      <c r="B6" s="2" t="s">
        <v>194</v>
      </c>
      <c r="C6" s="10" t="n">
        <f aca="false">COUNTBLANK(Students_Cleaning!E2:E32)</f>
        <v>1</v>
      </c>
      <c r="D6" s="10" t="n">
        <f aca="false">COUNTBLANK(Students_Cleaned!E2:E31)</f>
        <v>1</v>
      </c>
      <c r="E6" s="2" t="s">
        <v>197</v>
      </c>
      <c r="F6" s="2" t="s">
        <v>198</v>
      </c>
    </row>
    <row r="7" customFormat="false" ht="15" hidden="false" customHeight="false" outlineLevel="0" collapsed="false">
      <c r="A7" s="2" t="s">
        <v>5</v>
      </c>
      <c r="B7" s="2" t="s">
        <v>194</v>
      </c>
      <c r="C7" s="10" t="n">
        <f aca="false">COUNTBLANK(Students_Cleaning!F2:F32)</f>
        <v>0</v>
      </c>
      <c r="D7" s="10" t="n">
        <f aca="false">COUNTBLANK(Students_Cleaned!F2:F31)</f>
        <v>0</v>
      </c>
      <c r="E7" s="2" t="s">
        <v>195</v>
      </c>
      <c r="F7" s="2" t="s">
        <v>196</v>
      </c>
    </row>
    <row r="8" customFormat="false" ht="15" hidden="false" customHeight="false" outlineLevel="0" collapsed="false">
      <c r="A8" s="2" t="s">
        <v>6</v>
      </c>
      <c r="B8" s="2" t="s">
        <v>194</v>
      </c>
      <c r="C8" s="10" t="n">
        <f aca="false">COUNTBLANK(Students_Cleaning!G2:G32)</f>
        <v>0</v>
      </c>
      <c r="D8" s="10" t="n">
        <f aca="false">COUNTBLANK(Students_Cleaned!G2:G31)</f>
        <v>0</v>
      </c>
      <c r="E8" s="2" t="s">
        <v>195</v>
      </c>
      <c r="F8" s="2" t="s">
        <v>196</v>
      </c>
    </row>
    <row r="9" customFormat="false" ht="15" hidden="false" customHeight="false" outlineLevel="0" collapsed="false">
      <c r="A9" s="11" t="s">
        <v>199</v>
      </c>
      <c r="C9" s="12" t="n">
        <f aca="false">SUM(C2:C8)</f>
        <v>1</v>
      </c>
      <c r="D9" s="12" t="n">
        <f aca="false">SUM(D2:D8)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200</v>
      </c>
      <c r="B1" s="1" t="s">
        <v>201</v>
      </c>
    </row>
    <row r="2" customFormat="false" ht="15" hidden="false" customHeight="false" outlineLevel="0" collapsed="false">
      <c r="A2" s="2" t="s">
        <v>202</v>
      </c>
      <c r="B2" s="10" t="n">
        <f aca="false">COUNTA(Students_Cleaning!A2:A32)</f>
        <v>31</v>
      </c>
    </row>
    <row r="3" customFormat="false" ht="15" hidden="false" customHeight="false" outlineLevel="0" collapsed="false">
      <c r="A3" s="2" t="s">
        <v>203</v>
      </c>
      <c r="B3" s="10" t="n">
        <f aca="false">SUMPRODUCT(1/COUNTIF(Students_Cleaning!A2:A32,Students_Cleaning!A2:A32))</f>
        <v>30</v>
      </c>
    </row>
    <row r="4" customFormat="false" ht="15" hidden="false" customHeight="false" outlineLevel="0" collapsed="false">
      <c r="A4" s="2" t="s">
        <v>204</v>
      </c>
      <c r="B4" s="10" t="n">
        <f aca="false">COUNTIF(Students_Cleaning!L2:L32,"duplicate ID")</f>
        <v>2</v>
      </c>
    </row>
    <row r="5" customFormat="false" ht="15" hidden="false" customHeight="false" outlineLevel="0" collapsed="false">
      <c r="A5" s="2" t="s">
        <v>205</v>
      </c>
      <c r="B5" s="10" t="n">
        <f aca="false">B2-B3</f>
        <v>1</v>
      </c>
    </row>
    <row r="6" customFormat="false" ht="15" hidden="false" customHeight="false" outlineLevel="0" collapsed="false">
      <c r="A6" s="2" t="s">
        <v>206</v>
      </c>
      <c r="B6" s="10" t="n">
        <f aca="false">B2-B7</f>
        <v>1</v>
      </c>
    </row>
    <row r="7" customFormat="false" ht="15" hidden="false" customHeight="false" outlineLevel="0" collapsed="false">
      <c r="A7" s="2" t="s">
        <v>207</v>
      </c>
      <c r="B7" s="10" t="n">
        <f aca="false">COUNTA(Students_Cleaned!A2:A31)</f>
        <v>30</v>
      </c>
    </row>
    <row r="8" customFormat="false" ht="15" hidden="false" customHeight="false" outlineLevel="0" collapsed="false">
      <c r="A8" s="2" t="s">
        <v>208</v>
      </c>
      <c r="B8" s="10" t="n">
        <f aca="false">SUMPRODUCT((COUNTIFS(Students_Cleaned!B2:B31,Students_Cleaned!B2:B31,Students_Cleaned!C2:C31,Students_Cleaned!C2:C31)&gt;1)*1)</f>
        <v>0</v>
      </c>
    </row>
    <row r="10" customFormat="false" ht="15" hidden="false" customHeight="false" outlineLevel="0" collapsed="false">
      <c r="A10" s="6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5" hidden="false" customHeight="false" outlineLevel="0" collapsed="false">
      <c r="A1" s="1" t="s">
        <v>210</v>
      </c>
      <c r="B1" s="1" t="s">
        <v>211</v>
      </c>
      <c r="C1" s="1" t="s">
        <v>212</v>
      </c>
      <c r="D1" s="1" t="s">
        <v>213</v>
      </c>
      <c r="E1" s="1" t="s">
        <v>214</v>
      </c>
    </row>
    <row r="2" customFormat="false" ht="23.85" hidden="false" customHeight="false" outlineLevel="0" collapsed="false">
      <c r="A2" s="9" t="s">
        <v>215</v>
      </c>
      <c r="B2" s="9" t="s">
        <v>216</v>
      </c>
      <c r="C2" s="13" t="s">
        <v>217</v>
      </c>
      <c r="D2" s="13" t="s">
        <v>217</v>
      </c>
      <c r="E2" s="9" t="s">
        <v>218</v>
      </c>
    </row>
    <row r="3" customFormat="false" ht="23.85" hidden="false" customHeight="false" outlineLevel="0" collapsed="false">
      <c r="A3" s="9" t="s">
        <v>219</v>
      </c>
      <c r="B3" s="9" t="s">
        <v>220</v>
      </c>
      <c r="C3" s="13" t="s">
        <v>217</v>
      </c>
      <c r="D3" s="14" t="s">
        <v>221</v>
      </c>
      <c r="E3" s="9" t="s">
        <v>222</v>
      </c>
    </row>
    <row r="4" customFormat="false" ht="23.85" hidden="false" customHeight="false" outlineLevel="0" collapsed="false">
      <c r="A4" s="9" t="s">
        <v>223</v>
      </c>
      <c r="B4" s="9" t="s">
        <v>224</v>
      </c>
      <c r="C4" s="15" t="s">
        <v>225</v>
      </c>
      <c r="D4" s="14" t="s">
        <v>221</v>
      </c>
      <c r="E4" s="9" t="s">
        <v>226</v>
      </c>
    </row>
    <row r="5" customFormat="false" ht="15" hidden="false" customHeight="false" outlineLevel="0" collapsed="false">
      <c r="A5" s="9" t="s">
        <v>227</v>
      </c>
      <c r="B5" s="9" t="s">
        <v>228</v>
      </c>
      <c r="C5" s="13" t="s">
        <v>217</v>
      </c>
      <c r="D5" s="14" t="s">
        <v>221</v>
      </c>
      <c r="E5" s="9" t="s">
        <v>229</v>
      </c>
    </row>
    <row r="6" customFormat="false" ht="23.85" hidden="false" customHeight="false" outlineLevel="0" collapsed="false">
      <c r="A6" s="9" t="s">
        <v>230</v>
      </c>
      <c r="B6" s="9" t="s">
        <v>231</v>
      </c>
      <c r="C6" s="13" t="s">
        <v>217</v>
      </c>
      <c r="D6" s="14" t="s">
        <v>221</v>
      </c>
      <c r="E6" s="9" t="s">
        <v>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2026-10-28T14:12:58Z</dcterms:created>
  <dc:creator>openpyxl</dc:creator>
  <dc:description/>
  <dc:language>en-US</dc:language>
  <cp:lastModifiedBy/>
  <dcterms:modified xsi:type="dcterms:W3CDTF">2026-10-28T14:12:58Z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